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Parameters" sheetId="1" r:id="rId5"/>
    <sheet state="visible" name="Sensitivity Analysis" sheetId="2" r:id="rId6"/>
  </sheets>
  <definedNames/>
  <calcPr/>
</workbook>
</file>

<file path=xl/sharedStrings.xml><?xml version="1.0" encoding="utf-8"?>
<sst xmlns="http://schemas.openxmlformats.org/spreadsheetml/2006/main" count="93" uniqueCount="73">
  <si>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</si>
  <si>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</si>
  <si>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</si>
  <si>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</si>
  <si>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</si>
  <si>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</si>
  <si>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</si>
  <si>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</si>
  <si>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</si>
  <si>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</si>
  <si>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</si>
  <si>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</si>
  <si>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</si>
  <si>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</si>
  <si>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</si>
  <si>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</si>
  <si>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</si>
  <si>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</si>
  <si>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</si>
  <si>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</si>
  <si>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</si>
  <si>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</si>
  <si>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</si>
  <si>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</si>
  <si>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</si>
  <si>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</si>
  <si>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</si>
  <si>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</si>
  <si>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</si>
  <si>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</si>
  <si>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</si>
  <si>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</si>
  <si>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</si>
  <si>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</si>
  <si>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</si>
  <si>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</si>
  <si>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</si>
  <si>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</si>
  <si>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Days of use is calculated by combining the average daily energy </t>
  </si>
  <si>
    <t xml:space="preserve">REFLECTIONS : WHAT DID YOU LEARN FROM ANALYZING YOUR POWER.  TALK ABOUT SOME POTENTIAL TRADEOFFS. </t>
  </si>
  <si>
    <t>consumption across off, sensing, and interactive modes based on expected daily usage hours.</t>
  </si>
  <si>
    <t>I determined the days of use by estimating how the device would typically be used each day and dividing that time between off, sensing, and interactive modes. I then calculated the average daily energy consumption using the power values of each component and how often they are active in each mode.</t>
  </si>
  <si>
    <t>I chose the battery size by balancing how long the device should run with its size and cost. For the sensor device, a 500 mAh battery allows the device to operate for multiple days while staying small and lightweight. The display device uses more power because of the OLED screen and user interaction, so a larger 1000 mAh battery is more appropriate.</t>
  </si>
  <si>
    <t>To improve the user experience, power consumption could be reduced by using deeper sleep modes, sending data less frequently, lowering the LED brightness, or using BLE instead of Wi Fi. These changes would require more software effort and design decisions, but they would result in longer battery life and a more comfortable and usable device.</t>
  </si>
  <si>
    <t>DATASHEETS</t>
  </si>
  <si>
    <t>ESP32</t>
  </si>
  <si>
    <t>https://www.espressif.com/sites/default/files/documentation/esp32-c3_datasheet_en.pdf</t>
  </si>
  <si>
    <t xml:space="preserve">LED — Standard </t>
  </si>
  <si>
    <t>https://www.vishay.com/docs/83171/tlms1100.pdf</t>
  </si>
  <si>
    <t>SENSOR - INMP441</t>
  </si>
  <si>
    <t>https://invensense.tdk.com/wp-content/uploads/2015/02/INMP441.pdf</t>
  </si>
  <si>
    <t>Display — SSD1306 OLED</t>
  </si>
  <si>
    <t>https://cdn-shop.adafruit.com/datasheets/SSD1306.pdf</t>
  </si>
  <si>
    <t>Radio (ESP32C3)</t>
  </si>
  <si>
    <t>https://www.espressif.com/sites/default/files/documentation/esp32-c3_technical_reference_manual_en.pdf</t>
  </si>
  <si>
    <t>Batteries</t>
  </si>
  <si>
    <t>https://www.adafruit.com/product/1578</t>
  </si>
  <si>
    <t>https://www.adafruit.com/product/258</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</si>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</sst>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color theme="1"/>
      <name val="Arial"/>
    </font>
    <font>
      <b/>
      <color theme="1"/>
      <name val="Arial"/>
    </font>
    <font>
      <sz val="11.0"/>
      <color theme="1"/>
      <name val="Arial"/>
    </font>
    <font>
      <color rgb="FF0E0E0E"/>
      <name val="Arial"/>
      <scheme val="minor"/>
    </font>
    <font>
      <color theme="1"/>
      <name val="Arial"/>
      <scheme val="minor"/>
    </font>
    <font>
      <u/>
      <color rgb="FF0000FF"/>
    </font>
    <font>
      <u/>
      <color theme="1"/>
      <name val="Arial"/>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Border="1" applyFont="1"/>
    <xf borderId="0" fillId="0" fontId="2" numFmtId="0" xfId="0" applyFont="1"/>
    <xf borderId="5" fillId="0" fontId="1" numFmtId="0" xfId="0" applyBorder="1" applyFont="1"/>
    <xf borderId="4" fillId="0" fontId="1" numFmtId="0" xfId="0" applyBorder="1" applyFont="1"/>
    <xf borderId="0" fillId="0" fontId="3" numFmtId="0" xfId="0" applyFont="1"/>
    <xf borderId="0" fillId="0" fontId="1" numFmtId="0" xfId="0" applyFont="1"/>
    <xf borderId="0" fillId="2" fontId="3" numFmtId="1" xfId="0" applyAlignment="1" applyFill="1" applyFont="1" applyNumberFormat="1">
      <alignment readingOrder="0"/>
    </xf>
    <xf borderId="0" fillId="2" fontId="1" numFmtId="9" xfId="0" applyFont="1" applyNumberFormat="1"/>
    <xf borderId="0" fillId="2" fontId="3" numFmtId="9" xfId="0" applyAlignment="1" applyFont="1" applyNumberFormat="1">
      <alignment readingOrder="0"/>
    </xf>
    <xf borderId="0" fillId="2" fontId="1" numFmtId="9" xfId="0" applyAlignment="1" applyFont="1" applyNumberFormat="1">
      <alignment readingOrder="0"/>
    </xf>
    <xf borderId="0" fillId="2" fontId="1" numFmtId="1" xfId="0" applyAlignment="1" applyFont="1" applyNumberFormat="1">
      <alignment readingOrder="0"/>
    </xf>
    <xf borderId="0" fillId="2" fontId="1" numFmtId="1" xfId="0" applyFont="1" applyNumberFormat="1"/>
    <xf borderId="0" fillId="0" fontId="1" numFmtId="1" xfId="0" applyFont="1" applyNumberFormat="1"/>
    <xf borderId="0" fillId="2" fontId="1" numFmtId="0" xfId="0" applyFont="1"/>
    <xf borderId="0" fillId="3" fontId="1" numFmtId="0" xfId="0" applyFill="1" applyFont="1"/>
    <xf borderId="0" fillId="3" fontId="1" numFmtId="164" xfId="0" applyFont="1" applyNumberFormat="1"/>
    <xf borderId="0" fillId="4" fontId="2" numFmtId="0" xfId="0" applyFill="1" applyFont="1"/>
    <xf borderId="0" fillId="4" fontId="2" numFmtId="2" xfId="0" applyFont="1" applyNumberFormat="1"/>
    <xf borderId="6" fillId="0" fontId="1" numFmtId="0" xfId="0" applyBorder="1" applyFont="1"/>
    <xf borderId="7" fillId="0" fontId="1" numFmtId="0" xfId="0" applyBorder="1" applyFont="1"/>
    <xf borderId="8" fillId="0" fontId="1" numFmtId="0" xfId="0" applyBorder="1"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1" numFmtId="9" xfId="0" applyFont="1" applyNumberFormat="1"/>
    <xf borderId="0" fillId="0" fontId="1" numFmtId="10" xfId="0" applyFont="1" applyNumberForma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686820238"/>
        <c:axId val="2094404498"/>
      </c:barChart>
      <c:catAx>
        <c:axId val="6868202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94404498"/>
      </c:catAx>
      <c:valAx>
        <c:axId val="209440449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6820238"/>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398611042"/>
        <c:axId val="2110015125"/>
      </c:barChart>
      <c:catAx>
        <c:axId val="398611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10015125"/>
      </c:catAx>
      <c:valAx>
        <c:axId val="211001512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8611042"/>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180975</xdr:rowOff>
    </xdr:from>
    <xdr:ext cx="6743700" cy="4171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352425</xdr:colOff>
      <xdr:row>7</xdr:row>
      <xdr:rowOff>85725</xdr:rowOff>
    </xdr:from>
    <xdr:ext cx="3095625" cy="647700"/>
    <xdr:sp>
      <xdr:nvSpPr>
        <xdr:cNvPr id="3" name="Shape 3"/>
        <xdr:cNvSpPr txBox="1"/>
      </xdr:nvSpPr>
      <xdr:spPr>
        <a:xfrm>
          <a:off x="3802950" y="3460913"/>
          <a:ext cx="3086100" cy="638175"/>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rPr lang="en-US" sz="1400"/>
            <a:t>If component changes by 10%...</a:t>
          </a:r>
          <a:endParaRPr sz="1400"/>
        </a:p>
        <a:p>
          <a:pPr indent="0" lvl="0" marL="0" rtl="0" algn="l">
            <a:spcBef>
              <a:spcPts val="0"/>
            </a:spcBef>
            <a:spcAft>
              <a:spcPts val="0"/>
            </a:spcAft>
            <a:buSzPts val="1400"/>
            <a:buFont typeface="Arial"/>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2</xdr:row>
      <xdr:rowOff>171450</xdr:rowOff>
    </xdr:from>
    <xdr:ext cx="6743700" cy="41719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552450</xdr:colOff>
      <xdr:row>9</xdr:row>
      <xdr:rowOff>38100</xdr:rowOff>
    </xdr:from>
    <xdr:ext cx="3381375" cy="857250"/>
    <xdr:sp>
      <xdr:nvSpPr>
        <xdr:cNvPr id="4" name="Shape 4"/>
        <xdr:cNvSpPr txBox="1"/>
      </xdr:nvSpPr>
      <xdr:spPr>
        <a:xfrm>
          <a:off x="3660075" y="3356138"/>
          <a:ext cx="3371850" cy="847725"/>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rPr lang="en-US" sz="1400"/>
            <a:t>If component changes by 10%</a:t>
          </a:r>
          <a:endParaRPr sz="1400"/>
        </a:p>
        <a:p>
          <a:pPr indent="0" lvl="0" marL="0" rtl="0" algn="l">
            <a:spcBef>
              <a:spcPts val="0"/>
            </a:spcBef>
            <a:spcAft>
              <a:spcPts val="0"/>
            </a:spcAft>
            <a:buSzPts val="1400"/>
            <a:buFont typeface="Arial"/>
            <a:buNone/>
          </a:pPr>
          <a:r>
            <a:rPr lang="en-US" sz="1400"/>
            <a:t>… “hours” of use changes by x%</a:t>
          </a:r>
          <a:endParaRPr sz="1400"/>
        </a:p>
        <a:p>
          <a:pPr indent="0" lvl="0" marL="0" rtl="0" algn="l">
            <a:spcBef>
              <a:spcPts val="0"/>
            </a:spcBef>
            <a:spcAft>
              <a:spcPts val="0"/>
            </a:spcAft>
            <a:buSzPts val="1400"/>
            <a:buFont typeface="Arial"/>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spressif.com/sites/default/files/documentation/esp32-c3_datasheet_en.pdf" TargetMode="External"/><Relationship Id="rId2" Type="http://schemas.openxmlformats.org/officeDocument/2006/relationships/hyperlink" Target="https://www.vishay.com/docs/83171/tlms1100.pdf" TargetMode="External"/><Relationship Id="rId3" Type="http://schemas.openxmlformats.org/officeDocument/2006/relationships/hyperlink" Target="https://invensense.tdk.com/wp-content/uploads/2015/02/INMP441.pdf" TargetMode="External"/><Relationship Id="rId4" Type="http://schemas.openxmlformats.org/officeDocument/2006/relationships/hyperlink" Target="https://cdn-shop.adafruit.com/datasheets/SSD1306.pdf" TargetMode="External"/><Relationship Id="rId5" Type="http://schemas.openxmlformats.org/officeDocument/2006/relationships/hyperlink" Target="https://www.espressif.com/sites/default/files/documentation/esp32-c3_technical_reference_manual_en.pdf" TargetMode="External"/><Relationship Id="rId6" Type="http://schemas.openxmlformats.org/officeDocument/2006/relationships/hyperlink" Target="https://www.adafruit.com/product/1578" TargetMode="External"/><Relationship Id="rId7" Type="http://schemas.openxmlformats.org/officeDocument/2006/relationships/hyperlink" Target="https://www.adafruit.com/product/258"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0"/>
    <col customWidth="1" min="2" max="4" width="12.63"/>
    <col customWidth="1" min="5" max="5" width="12.75"/>
    <col customWidth="1" min="6" max="6" width="12.63"/>
  </cols>
  <sheetData>
    <row r="1" ht="15.75" customHeight="1"/>
    <row r="2" ht="15.75" customHeight="1">
      <c r="A2" s="1"/>
      <c r="B2" s="2"/>
      <c r="C2" s="2"/>
      <c r="D2" s="2"/>
      <c r="E2" s="2"/>
      <c r="F2" s="2"/>
      <c r="G2" s="2"/>
      <c r="H2" s="2"/>
      <c r="I2" s="3"/>
    </row>
    <row r="3" ht="15.75" customHeight="1">
      <c r="A3" s="4" t="s">
        <v>0</v>
      </c>
      <c r="E3" s="5" t="s">
        <v>1</v>
      </c>
      <c r="I3" s="6"/>
    </row>
    <row r="4" ht="15.75" customHeight="1">
      <c r="A4" s="7"/>
      <c r="B4" s="8" t="s">
        <v>2</v>
      </c>
      <c r="I4" s="6"/>
    </row>
    <row r="5" ht="15.75" customHeight="1">
      <c r="A5" s="7"/>
      <c r="E5" s="9" t="s">
        <v>3</v>
      </c>
      <c r="F5" s="9" t="s">
        <v>4</v>
      </c>
      <c r="G5" s="9" t="s">
        <v>5</v>
      </c>
      <c r="I5" s="6"/>
    </row>
    <row r="6" ht="15.75" customHeight="1">
      <c r="A6" s="4" t="s">
        <v>6</v>
      </c>
      <c r="I6" s="6"/>
    </row>
    <row r="7" ht="15.75" customHeight="1">
      <c r="A7" s="7" t="s">
        <v>7</v>
      </c>
      <c r="B7" s="10">
        <v>120.0</v>
      </c>
      <c r="C7" s="9" t="s">
        <v>8</v>
      </c>
      <c r="E7" s="11">
        <v>0.0</v>
      </c>
      <c r="F7" s="12">
        <v>0.1</v>
      </c>
      <c r="G7" s="13">
        <v>0.5</v>
      </c>
      <c r="I7" s="6"/>
    </row>
    <row r="8" ht="15.75" customHeight="1">
      <c r="A8" s="7" t="s">
        <v>9</v>
      </c>
      <c r="B8" s="14">
        <v>20.0</v>
      </c>
      <c r="C8" s="9" t="s">
        <v>8</v>
      </c>
      <c r="E8" s="11">
        <v>0.0</v>
      </c>
      <c r="F8" s="12">
        <v>0.2</v>
      </c>
      <c r="G8" s="13">
        <v>0.3</v>
      </c>
      <c r="I8" s="6"/>
    </row>
    <row r="9" ht="15.75" customHeight="1">
      <c r="A9" s="7" t="s">
        <v>10</v>
      </c>
      <c r="B9" s="15">
        <v>1.00035</v>
      </c>
      <c r="C9" s="9" t="s">
        <v>8</v>
      </c>
      <c r="E9" s="13">
        <v>1.0</v>
      </c>
      <c r="F9" s="13">
        <v>0.7</v>
      </c>
      <c r="G9" s="13">
        <v>0.2</v>
      </c>
      <c r="I9" s="6"/>
    </row>
    <row r="10" ht="15.75" customHeight="1">
      <c r="A10" s="7"/>
      <c r="I10" s="6"/>
    </row>
    <row r="11" ht="15.75" customHeight="1">
      <c r="A11" s="4" t="s">
        <v>11</v>
      </c>
      <c r="I11" s="6"/>
    </row>
    <row r="12" ht="15.75" customHeight="1">
      <c r="A12" s="7" t="s">
        <v>12</v>
      </c>
      <c r="B12" s="15">
        <v>5.0004</v>
      </c>
      <c r="C12" s="9" t="s">
        <v>8</v>
      </c>
      <c r="E12" s="11">
        <v>0.0</v>
      </c>
      <c r="F12" s="13">
        <v>0.05</v>
      </c>
      <c r="G12" s="13">
        <v>0.5</v>
      </c>
      <c r="I12" s="6"/>
    </row>
    <row r="13" ht="15.75" customHeight="1">
      <c r="A13" s="7"/>
      <c r="B13" s="16"/>
      <c r="I13" s="6"/>
    </row>
    <row r="14" ht="15.75" customHeight="1">
      <c r="A14" s="7"/>
      <c r="B14" s="16"/>
      <c r="I14" s="6"/>
    </row>
    <row r="15" ht="15.75" customHeight="1">
      <c r="A15" s="4" t="s">
        <v>13</v>
      </c>
      <c r="B15" s="16"/>
      <c r="I15" s="6"/>
    </row>
    <row r="16" ht="15.75" customHeight="1">
      <c r="A16" s="7" t="s">
        <v>12</v>
      </c>
      <c r="B16" s="14">
        <v>10.0</v>
      </c>
      <c r="C16" s="9" t="s">
        <v>8</v>
      </c>
      <c r="E16" s="11">
        <v>0.0</v>
      </c>
      <c r="F16" s="12">
        <v>0.1</v>
      </c>
      <c r="G16" s="13">
        <v>0.8</v>
      </c>
      <c r="I16" s="6"/>
    </row>
    <row r="17" ht="15.75" customHeight="1">
      <c r="A17" s="7" t="s">
        <v>9</v>
      </c>
      <c r="B17" s="14">
        <v>2.0</v>
      </c>
      <c r="C17" s="9" t="s">
        <v>8</v>
      </c>
      <c r="E17" s="11">
        <v>0.0</v>
      </c>
      <c r="F17" s="12">
        <v>0.9</v>
      </c>
      <c r="G17" s="13">
        <v>0.2</v>
      </c>
      <c r="I17" s="6"/>
    </row>
    <row r="18" ht="15.75" customHeight="1">
      <c r="A18" s="7" t="s">
        <v>14</v>
      </c>
      <c r="B18" s="14">
        <v>0.1</v>
      </c>
      <c r="C18" s="9" t="s">
        <v>8</v>
      </c>
      <c r="E18" s="13">
        <v>1.0</v>
      </c>
      <c r="F18" s="11">
        <v>0.0</v>
      </c>
      <c r="G18" s="11">
        <v>0.0</v>
      </c>
      <c r="I18" s="6"/>
    </row>
    <row r="19" ht="15.75" customHeight="1">
      <c r="A19" s="7"/>
      <c r="B19" s="16"/>
      <c r="I19" s="6"/>
    </row>
    <row r="20" ht="15.75" customHeight="1">
      <c r="A20" s="4" t="s">
        <v>15</v>
      </c>
      <c r="B20" s="16"/>
      <c r="I20" s="6"/>
    </row>
    <row r="21" ht="15.75" customHeight="1">
      <c r="A21" s="7" t="s">
        <v>12</v>
      </c>
      <c r="B21" s="14">
        <v>25.0</v>
      </c>
      <c r="C21" s="9" t="s">
        <v>8</v>
      </c>
      <c r="E21" s="11">
        <v>0.0</v>
      </c>
      <c r="F21" s="12">
        <v>0.2</v>
      </c>
      <c r="G21" s="13">
        <v>1.0</v>
      </c>
      <c r="I21" s="6"/>
    </row>
    <row r="22" ht="15.75" customHeight="1">
      <c r="A22" s="7" t="s">
        <v>16</v>
      </c>
      <c r="B22" s="15">
        <v>1.0006</v>
      </c>
      <c r="C22" s="9" t="s">
        <v>8</v>
      </c>
      <c r="E22" s="13">
        <v>1.0</v>
      </c>
      <c r="F22" s="12">
        <v>0.8</v>
      </c>
      <c r="G22" s="11">
        <v>0.0</v>
      </c>
      <c r="I22" s="6"/>
    </row>
    <row r="23" ht="15.75" customHeight="1">
      <c r="A23" s="7"/>
      <c r="I23" s="6"/>
    </row>
    <row r="24" ht="15.75" customHeight="1">
      <c r="A24" s="4" t="s">
        <v>17</v>
      </c>
      <c r="I24" s="6"/>
      <c r="K24" s="1"/>
      <c r="L24" s="2"/>
      <c r="M24" s="2"/>
      <c r="N24" s="2"/>
      <c r="O24" s="2"/>
      <c r="P24" s="2"/>
      <c r="Q24" s="3"/>
    </row>
    <row r="25" ht="15.75" customHeight="1">
      <c r="A25" s="7" t="s">
        <v>18</v>
      </c>
      <c r="B25" s="17">
        <v>300.0</v>
      </c>
      <c r="C25" s="9" t="s">
        <v>19</v>
      </c>
      <c r="E25" s="11">
        <v>0.0</v>
      </c>
      <c r="F25" s="12">
        <v>0.0</v>
      </c>
      <c r="G25" s="12">
        <v>0.0</v>
      </c>
      <c r="I25" s="6"/>
      <c r="K25" s="7"/>
      <c r="L25" s="18" t="s">
        <v>20</v>
      </c>
      <c r="M25" s="18"/>
      <c r="N25" s="18"/>
      <c r="O25" s="18" t="s">
        <v>21</v>
      </c>
      <c r="P25" s="18"/>
      <c r="Q25" s="6"/>
    </row>
    <row r="26" ht="15.75" customHeight="1">
      <c r="A26" s="7" t="s">
        <v>22</v>
      </c>
      <c r="B26" s="15">
        <v>5.00002</v>
      </c>
      <c r="C26" s="9" t="s">
        <v>8</v>
      </c>
      <c r="E26" s="12">
        <v>0.98</v>
      </c>
      <c r="F26" s="12">
        <v>0.95</v>
      </c>
      <c r="G26" s="13">
        <v>0.9</v>
      </c>
      <c r="I26" s="6"/>
      <c r="K26" s="7"/>
      <c r="L26" s="18" t="str">
        <f>E5</f>
        <v>"off"</v>
      </c>
      <c r="M26" s="18">
        <f>SUMPRODUCT(B7:B28, E7:E28)</f>
        <v>7.0009696</v>
      </c>
      <c r="N26" s="18" t="s">
        <v>8</v>
      </c>
      <c r="O26" s="19">
        <f t="shared" ref="O26:O28" si="1">$M$31/M26</f>
        <v>223.8975584</v>
      </c>
      <c r="P26" s="18" t="s">
        <v>23</v>
      </c>
      <c r="Q26" s="6"/>
    </row>
    <row r="27" ht="15.75" customHeight="1">
      <c r="A27" s="7" t="s">
        <v>24</v>
      </c>
      <c r="B27" s="14">
        <v>250.0</v>
      </c>
      <c r="C27" s="9" t="s">
        <v>8</v>
      </c>
      <c r="E27" s="11">
        <v>0.0</v>
      </c>
      <c r="F27" s="13">
        <v>0.01</v>
      </c>
      <c r="G27" s="13">
        <v>0.05</v>
      </c>
      <c r="I27" s="6"/>
      <c r="K27" s="7"/>
      <c r="L27" s="18" t="str">
        <f>F5</f>
        <v>"sensing"</v>
      </c>
      <c r="M27" s="18">
        <f>SUMPRODUCT(B7:B28, F7:F28)</f>
        <v>34.000764</v>
      </c>
      <c r="N27" s="18" t="s">
        <v>8</v>
      </c>
      <c r="O27" s="19">
        <f t="shared" si="1"/>
        <v>46.10190524</v>
      </c>
      <c r="P27" s="18" t="s">
        <v>23</v>
      </c>
      <c r="Q27" s="6"/>
    </row>
    <row r="28" ht="15.75" customHeight="1">
      <c r="A28" s="7" t="s">
        <v>25</v>
      </c>
      <c r="B28" s="14">
        <v>120.0</v>
      </c>
      <c r="C28" s="9" t="s">
        <v>8</v>
      </c>
      <c r="E28" s="11">
        <v>0.0</v>
      </c>
      <c r="F28" s="13">
        <v>0.01</v>
      </c>
      <c r="G28" s="13">
        <v>0.05</v>
      </c>
      <c r="I28" s="6"/>
      <c r="K28" s="7"/>
      <c r="L28" s="18" t="str">
        <f>G5</f>
        <v>"interactive"</v>
      </c>
      <c r="M28" s="18">
        <f>SUMPRODUCT(B7:B28, G7:G28)</f>
        <v>125.100288</v>
      </c>
      <c r="N28" s="18" t="s">
        <v>8</v>
      </c>
      <c r="O28" s="19">
        <f t="shared" si="1"/>
        <v>12.52994717</v>
      </c>
      <c r="P28" s="18" t="s">
        <v>23</v>
      </c>
      <c r="Q28" s="6"/>
    </row>
    <row r="29" ht="15.75" customHeight="1">
      <c r="A29" s="7"/>
      <c r="I29" s="6"/>
      <c r="K29" s="7"/>
      <c r="Q29" s="6"/>
    </row>
    <row r="30" ht="15.75" customHeight="1">
      <c r="A30" s="4"/>
      <c r="E30" s="17">
        <v>16.0</v>
      </c>
      <c r="F30" s="17">
        <v>7.0</v>
      </c>
      <c r="G30" s="17">
        <v>1.0</v>
      </c>
      <c r="H30" s="9" t="s">
        <v>26</v>
      </c>
      <c r="I30" s="6"/>
      <c r="K30" s="7"/>
      <c r="L30" s="9" t="s">
        <v>27</v>
      </c>
      <c r="Q30" s="6"/>
    </row>
    <row r="31" ht="15.75" customHeight="1">
      <c r="A31" s="4" t="s">
        <v>28</v>
      </c>
      <c r="I31" s="6"/>
      <c r="K31" s="7"/>
      <c r="M31" s="9">
        <f>B32*B33*B34</f>
        <v>1567.5</v>
      </c>
      <c r="N31" s="9" t="s">
        <v>29</v>
      </c>
      <c r="Q31" s="6"/>
    </row>
    <row r="32" ht="15.75" customHeight="1">
      <c r="A32" s="7" t="s">
        <v>30</v>
      </c>
      <c r="B32" s="14">
        <v>500.0</v>
      </c>
      <c r="C32" s="9" t="s">
        <v>31</v>
      </c>
      <c r="I32" s="6"/>
      <c r="K32" s="7"/>
      <c r="Q32" s="6"/>
    </row>
    <row r="33" ht="15.75" customHeight="1">
      <c r="A33" s="7" t="s">
        <v>32</v>
      </c>
      <c r="B33" s="14">
        <v>3.3</v>
      </c>
      <c r="C33" s="9" t="s">
        <v>33</v>
      </c>
      <c r="I33" s="6"/>
      <c r="K33" s="7"/>
      <c r="L33" s="20" t="s">
        <v>34</v>
      </c>
      <c r="M33" s="21">
        <f>M31/(E30*M26+F30*M27+G30*M28)</f>
        <v>3.299158544</v>
      </c>
      <c r="N33" s="20" t="s">
        <v>35</v>
      </c>
      <c r="Q33" s="6"/>
    </row>
    <row r="34" ht="15.75" customHeight="1">
      <c r="A34" s="7" t="s">
        <v>36</v>
      </c>
      <c r="B34" s="13">
        <v>0.95</v>
      </c>
      <c r="I34" s="6"/>
      <c r="K34" s="7"/>
      <c r="L34" s="20" t="s">
        <v>37</v>
      </c>
      <c r="M34" s="21">
        <f>M33*24</f>
        <v>79.17980505</v>
      </c>
      <c r="N34" s="20" t="s">
        <v>23</v>
      </c>
      <c r="Q34" s="6"/>
    </row>
    <row r="35" ht="15.75" customHeight="1">
      <c r="A35" s="22"/>
      <c r="B35" s="23"/>
      <c r="C35" s="23"/>
      <c r="D35" s="23"/>
      <c r="E35" s="23"/>
      <c r="F35" s="23"/>
      <c r="G35" s="23"/>
      <c r="H35" s="23"/>
      <c r="I35" s="24"/>
      <c r="K35" s="22"/>
      <c r="L35" s="23"/>
      <c r="M35" s="23"/>
      <c r="N35" s="23"/>
      <c r="O35" s="23"/>
      <c r="P35" s="23"/>
      <c r="Q35" s="24"/>
    </row>
    <row r="36" ht="15.75" customHeight="1"/>
    <row r="37" ht="15.75" customHeight="1">
      <c r="J37" s="25" t="s">
        <v>38</v>
      </c>
    </row>
    <row r="38" ht="15.75" customHeight="1">
      <c r="A38" s="5" t="s">
        <v>39</v>
      </c>
      <c r="J38" s="26" t="s">
        <v>40</v>
      </c>
    </row>
    <row r="39" ht="15.75" customHeight="1"/>
    <row r="40" ht="15.75" customHeight="1"/>
    <row r="41" ht="15.75" customHeight="1">
      <c r="A41" s="26" t="s">
        <v>41</v>
      </c>
    </row>
    <row r="42" ht="15.75" customHeight="1">
      <c r="A42" s="26" t="s">
        <v>42</v>
      </c>
    </row>
    <row r="43" ht="15.75" customHeight="1">
      <c r="A43" s="26" t="s">
        <v>43</v>
      </c>
    </row>
    <row r="44" ht="15.75" customHeight="1"/>
    <row r="45" ht="15.75" customHeight="1">
      <c r="A45" s="26" t="s">
        <v>44</v>
      </c>
    </row>
    <row r="46" ht="15.75" customHeight="1">
      <c r="A46" s="26" t="s">
        <v>45</v>
      </c>
      <c r="B46" s="27" t="s">
        <v>46</v>
      </c>
    </row>
    <row r="47" ht="15.75" customHeight="1">
      <c r="A47" s="26" t="s">
        <v>47</v>
      </c>
      <c r="B47" s="27" t="s">
        <v>48</v>
      </c>
    </row>
    <row r="48" ht="15.75" customHeight="1">
      <c r="A48" s="26" t="s">
        <v>49</v>
      </c>
      <c r="B48" s="27" t="s">
        <v>50</v>
      </c>
    </row>
    <row r="49" ht="15.75" customHeight="1">
      <c r="A49" s="26" t="s">
        <v>51</v>
      </c>
      <c r="B49" s="27" t="s">
        <v>52</v>
      </c>
    </row>
    <row r="50" ht="15.75" customHeight="1">
      <c r="A50" s="26" t="s">
        <v>53</v>
      </c>
      <c r="B50" s="27" t="s">
        <v>54</v>
      </c>
    </row>
    <row r="51" ht="15.75" customHeight="1">
      <c r="A51" s="26" t="s">
        <v>55</v>
      </c>
      <c r="B51" s="27" t="s">
        <v>56</v>
      </c>
    </row>
    <row r="52" ht="15.75" customHeight="1">
      <c r="B52" s="27" t="s">
        <v>57</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6"/>
    <hyperlink r:id="rId2" ref="B47"/>
    <hyperlink r:id="rId3" ref="B48"/>
    <hyperlink r:id="rId4" ref="B49"/>
    <hyperlink r:id="rId5" ref="B50"/>
    <hyperlink r:id="rId6" ref="B51"/>
    <hyperlink r:id="rId7" ref="B52"/>
  </hyperlinks>
  <printOptions gridLines="1" horizontalCentered="1"/>
  <pageMargins bottom="0.75" footer="0.0" header="0.0" left="0.7" right="0.7" top="0.75"/>
  <pageSetup fitToHeight="0" cellComments="atEnd" orientation="landscape" pageOrder="overThenDown"/>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c r="A50" s="9" t="s">
        <v>58</v>
      </c>
    </row>
    <row r="51" ht="15.75" customHeight="1"/>
    <row r="52" ht="15.75" customHeight="1">
      <c r="A52" s="9" t="str">
        <f>'System Parameters'!A3</f>
        <v>System Parameters (defined by hardware)</v>
      </c>
      <c r="B52" s="9" t="str">
        <f>'System Parameters'!B3</f>
        <v/>
      </c>
      <c r="C52" s="9" t="str">
        <f>'System Parameters'!C3</f>
        <v/>
      </c>
      <c r="D52" s="9" t="str">
        <f>'System Parameters'!D3</f>
        <v/>
      </c>
      <c r="T52" s="9" t="str">
        <f>'System Parameters'!E3</f>
        <v>Profiles (usage of each component mode - defined by software and usage)</v>
      </c>
      <c r="U52" s="9" t="str">
        <f>'System Parameters'!F3</f>
        <v/>
      </c>
      <c r="V52" s="9" t="str">
        <f>'System Parameters'!G3</f>
        <v/>
      </c>
      <c r="W52" s="9" t="str">
        <f>'System Parameters'!H3</f>
        <v/>
      </c>
    </row>
    <row r="53" ht="15.75" customHeight="1">
      <c r="A53" s="9" t="str">
        <f>'System Parameters'!A4</f>
        <v/>
      </c>
      <c r="B53" s="9" t="str">
        <f>'System Parameters'!B4</f>
        <v>form the datasheets</v>
      </c>
      <c r="C53" s="9" t="str">
        <f>'System Parameters'!C4</f>
        <v/>
      </c>
      <c r="D53" s="9" t="str">
        <f>'System Parameters'!D4</f>
        <v/>
      </c>
      <c r="T53" s="9" t="str">
        <f>'System Parameters'!E4</f>
        <v/>
      </c>
      <c r="U53" s="9" t="str">
        <f>'System Parameters'!F4</f>
        <v/>
      </c>
      <c r="V53" s="9" t="str">
        <f>'System Parameters'!G4</f>
        <v/>
      </c>
      <c r="W53" s="9" t="str">
        <f>'System Parameters'!H4</f>
        <v/>
      </c>
    </row>
    <row r="54" ht="15.75" customHeight="1">
      <c r="A54" s="9" t="str">
        <f>'System Parameters'!A5</f>
        <v/>
      </c>
      <c r="B54" s="9" t="str">
        <f>'System Parameters'!B5</f>
        <v/>
      </c>
      <c r="C54" s="9" t="str">
        <f>'System Parameters'!C5</f>
        <v/>
      </c>
      <c r="D54" s="9" t="str">
        <f>'System Parameters'!D5</f>
        <v/>
      </c>
      <c r="T54" s="9" t="str">
        <f>'System Parameters'!E5</f>
        <v>"off"</v>
      </c>
      <c r="U54" s="9" t="str">
        <f>'System Parameters'!F5</f>
        <v>"sensing"</v>
      </c>
      <c r="V54" s="9" t="str">
        <f>'System Parameters'!G5</f>
        <v>"interactive"</v>
      </c>
      <c r="W54" s="9" t="str">
        <f>'System Parameters'!H5</f>
        <v/>
      </c>
    </row>
    <row r="55" ht="15.75" customHeight="1">
      <c r="A55" s="9" t="str">
        <f>'System Parameters'!A6</f>
        <v>Processor</v>
      </c>
      <c r="B55" s="9" t="str">
        <f>'System Parameters'!B6</f>
        <v/>
      </c>
      <c r="C55" s="9" t="str">
        <f>'System Parameters'!C6</f>
        <v/>
      </c>
      <c r="D55" s="9" t="str">
        <f>'System Parameters'!D6</f>
        <v/>
      </c>
      <c r="T55" s="9" t="str">
        <f>'System Parameters'!E6</f>
        <v/>
      </c>
      <c r="U55" s="9" t="str">
        <f>'System Parameters'!F6</f>
        <v/>
      </c>
      <c r="V55" s="9" t="str">
        <f>'System Parameters'!G6</f>
        <v/>
      </c>
      <c r="W55" s="9" t="str">
        <f>'System Parameters'!H6</f>
        <v/>
      </c>
    </row>
    <row r="56" ht="15.75" customHeight="1">
      <c r="A56" s="9" t="str">
        <f>'System Parameters'!A7</f>
        <v>Active</v>
      </c>
      <c r="B56" s="16">
        <f>'System Parameters'!B7</f>
        <v>120</v>
      </c>
      <c r="C56" s="9" t="str">
        <f>'System Parameters'!C7</f>
        <v>mW</v>
      </c>
      <c r="D56" s="9">
        <f>$B56*0.9</f>
        <v>108</v>
      </c>
      <c r="E56" s="16">
        <f t="shared" ref="E56:O56" si="1">$B56</f>
        <v>120</v>
      </c>
      <c r="F56" s="16">
        <f t="shared" si="1"/>
        <v>120</v>
      </c>
      <c r="G56" s="16">
        <f t="shared" si="1"/>
        <v>120</v>
      </c>
      <c r="H56" s="16">
        <f t="shared" si="1"/>
        <v>120</v>
      </c>
      <c r="I56" s="16">
        <f t="shared" si="1"/>
        <v>120</v>
      </c>
      <c r="J56" s="16">
        <f t="shared" si="1"/>
        <v>120</v>
      </c>
      <c r="K56" s="16">
        <f t="shared" si="1"/>
        <v>120</v>
      </c>
      <c r="L56" s="16">
        <f t="shared" si="1"/>
        <v>120</v>
      </c>
      <c r="M56" s="16">
        <f t="shared" si="1"/>
        <v>120</v>
      </c>
      <c r="N56" s="16">
        <f t="shared" si="1"/>
        <v>120</v>
      </c>
      <c r="O56" s="16">
        <f t="shared" si="1"/>
        <v>120</v>
      </c>
      <c r="T56" s="28">
        <f>'System Parameters'!E7</f>
        <v>0</v>
      </c>
      <c r="U56" s="28">
        <f>'System Parameters'!F7</f>
        <v>0.1</v>
      </c>
      <c r="V56" s="28">
        <f>'System Parameters'!G7</f>
        <v>0.5</v>
      </c>
      <c r="W56" s="9" t="str">
        <f>'System Parameters'!H7</f>
        <v/>
      </c>
    </row>
    <row r="57" ht="15.75" customHeight="1">
      <c r="A57" s="9" t="str">
        <f>'System Parameters'!A8</f>
        <v>Idle</v>
      </c>
      <c r="B57" s="16">
        <f>'System Parameters'!B8</f>
        <v>20</v>
      </c>
      <c r="C57" s="9" t="str">
        <f>'System Parameters'!C8</f>
        <v>mW</v>
      </c>
      <c r="D57" s="16">
        <f t="shared" ref="D57:D76" si="3">$B57</f>
        <v>20</v>
      </c>
      <c r="E57" s="9">
        <f>$B57*0.9</f>
        <v>18</v>
      </c>
      <c r="F57" s="16">
        <f t="shared" ref="F57:O57" si="2">$B57</f>
        <v>20</v>
      </c>
      <c r="G57" s="16">
        <f t="shared" si="2"/>
        <v>20</v>
      </c>
      <c r="H57" s="16">
        <f t="shared" si="2"/>
        <v>20</v>
      </c>
      <c r="I57" s="16">
        <f t="shared" si="2"/>
        <v>20</v>
      </c>
      <c r="J57" s="16">
        <f t="shared" si="2"/>
        <v>20</v>
      </c>
      <c r="K57" s="16">
        <f t="shared" si="2"/>
        <v>20</v>
      </c>
      <c r="L57" s="16">
        <f t="shared" si="2"/>
        <v>20</v>
      </c>
      <c r="M57" s="16">
        <f t="shared" si="2"/>
        <v>20</v>
      </c>
      <c r="N57" s="16">
        <f t="shared" si="2"/>
        <v>20</v>
      </c>
      <c r="O57" s="16">
        <f t="shared" si="2"/>
        <v>20</v>
      </c>
      <c r="T57" s="28">
        <f>'System Parameters'!E8</f>
        <v>0</v>
      </c>
      <c r="U57" s="28">
        <f>'System Parameters'!F8</f>
        <v>0.2</v>
      </c>
      <c r="V57" s="28">
        <f>'System Parameters'!G8</f>
        <v>0.3</v>
      </c>
      <c r="W57" s="9" t="str">
        <f>'System Parameters'!H8</f>
        <v/>
      </c>
    </row>
    <row r="58" ht="15.75" customHeight="1">
      <c r="A58" s="9" t="str">
        <f>'System Parameters'!A9</f>
        <v>Sleep</v>
      </c>
      <c r="B58" s="16">
        <f>'System Parameters'!B9</f>
        <v>1.00035</v>
      </c>
      <c r="C58" s="9" t="str">
        <f>'System Parameters'!C9</f>
        <v>mW</v>
      </c>
      <c r="D58" s="16">
        <f t="shared" si="3"/>
        <v>1.00035</v>
      </c>
      <c r="E58" s="16">
        <f t="shared" ref="E58:E76" si="5">$B58</f>
        <v>1.00035</v>
      </c>
      <c r="F58" s="9">
        <f>$B58*0.9</f>
        <v>0.900315</v>
      </c>
      <c r="G58" s="16">
        <f t="shared" ref="G58:O58" si="4">$B58</f>
        <v>1.00035</v>
      </c>
      <c r="H58" s="16">
        <f t="shared" si="4"/>
        <v>1.00035</v>
      </c>
      <c r="I58" s="16">
        <f t="shared" si="4"/>
        <v>1.00035</v>
      </c>
      <c r="J58" s="16">
        <f t="shared" si="4"/>
        <v>1.00035</v>
      </c>
      <c r="K58" s="16">
        <f t="shared" si="4"/>
        <v>1.00035</v>
      </c>
      <c r="L58" s="16">
        <f t="shared" si="4"/>
        <v>1.00035</v>
      </c>
      <c r="M58" s="16">
        <f t="shared" si="4"/>
        <v>1.00035</v>
      </c>
      <c r="N58" s="16">
        <f t="shared" si="4"/>
        <v>1.00035</v>
      </c>
      <c r="O58" s="16">
        <f t="shared" si="4"/>
        <v>1.00035</v>
      </c>
      <c r="T58" s="28">
        <f>'System Parameters'!E9</f>
        <v>1</v>
      </c>
      <c r="U58" s="28">
        <f>'System Parameters'!F9</f>
        <v>0.7</v>
      </c>
      <c r="V58" s="28">
        <f>'System Parameters'!G9</f>
        <v>0.2</v>
      </c>
      <c r="W58" s="9" t="str">
        <f>'System Parameters'!H9</f>
        <v/>
      </c>
    </row>
    <row r="59" ht="15.75" customHeight="1">
      <c r="A59" s="9" t="str">
        <f>'System Parameters'!A10</f>
        <v/>
      </c>
      <c r="B59" s="9" t="str">
        <f>'System Parameters'!B10</f>
        <v/>
      </c>
      <c r="C59" s="9" t="str">
        <f>'System Parameters'!C10</f>
        <v/>
      </c>
      <c r="D59" s="9" t="str">
        <f t="shared" si="3"/>
        <v/>
      </c>
      <c r="E59" s="9" t="str">
        <f t="shared" si="5"/>
        <v/>
      </c>
      <c r="F59" s="9" t="str">
        <f t="shared" ref="F59:O59" si="6">$B59</f>
        <v/>
      </c>
      <c r="G59" s="9" t="str">
        <f t="shared" si="6"/>
        <v/>
      </c>
      <c r="H59" s="9" t="str">
        <f t="shared" si="6"/>
        <v/>
      </c>
      <c r="I59" s="9" t="str">
        <f t="shared" si="6"/>
        <v/>
      </c>
      <c r="J59" s="9" t="str">
        <f t="shared" si="6"/>
        <v/>
      </c>
      <c r="K59" s="9" t="str">
        <f t="shared" si="6"/>
        <v/>
      </c>
      <c r="L59" s="9" t="str">
        <f t="shared" si="6"/>
        <v/>
      </c>
      <c r="M59" s="9" t="str">
        <f t="shared" si="6"/>
        <v/>
      </c>
      <c r="N59" s="9" t="str">
        <f t="shared" si="6"/>
        <v/>
      </c>
      <c r="O59" s="9" t="str">
        <f t="shared" si="6"/>
        <v/>
      </c>
      <c r="T59" s="9" t="str">
        <f>'System Parameters'!E10</f>
        <v/>
      </c>
      <c r="U59" s="9" t="str">
        <f>'System Parameters'!F10</f>
        <v/>
      </c>
      <c r="V59" s="9" t="str">
        <f>'System Parameters'!G10</f>
        <v/>
      </c>
      <c r="W59" s="9" t="str">
        <f>'System Parameters'!H10</f>
        <v/>
      </c>
    </row>
    <row r="60" ht="15.75" customHeight="1">
      <c r="A60" s="9" t="str">
        <f>'System Parameters'!A11</f>
        <v>LED</v>
      </c>
      <c r="B60" s="9" t="str">
        <f>'System Parameters'!B11</f>
        <v/>
      </c>
      <c r="C60" s="9" t="str">
        <f>'System Parameters'!C11</f>
        <v/>
      </c>
      <c r="D60" s="9" t="str">
        <f t="shared" si="3"/>
        <v/>
      </c>
      <c r="E60" s="9" t="str">
        <f t="shared" si="5"/>
        <v/>
      </c>
      <c r="F60" s="9" t="str">
        <f t="shared" ref="F60:O60" si="7">$B60</f>
        <v/>
      </c>
      <c r="G60" s="9" t="str">
        <f t="shared" si="7"/>
        <v/>
      </c>
      <c r="H60" s="9" t="str">
        <f t="shared" si="7"/>
        <v/>
      </c>
      <c r="I60" s="9" t="str">
        <f t="shared" si="7"/>
        <v/>
      </c>
      <c r="J60" s="9" t="str">
        <f t="shared" si="7"/>
        <v/>
      </c>
      <c r="K60" s="9" t="str">
        <f t="shared" si="7"/>
        <v/>
      </c>
      <c r="L60" s="9" t="str">
        <f t="shared" si="7"/>
        <v/>
      </c>
      <c r="M60" s="9" t="str">
        <f t="shared" si="7"/>
        <v/>
      </c>
      <c r="N60" s="9" t="str">
        <f t="shared" si="7"/>
        <v/>
      </c>
      <c r="O60" s="9" t="str">
        <f t="shared" si="7"/>
        <v/>
      </c>
      <c r="T60" s="9" t="str">
        <f>'System Parameters'!E11</f>
        <v/>
      </c>
      <c r="U60" s="9" t="str">
        <f>'System Parameters'!F11</f>
        <v/>
      </c>
      <c r="V60" s="9" t="str">
        <f>'System Parameters'!G11</f>
        <v/>
      </c>
      <c r="W60" s="9" t="str">
        <f>'System Parameters'!H11</f>
        <v/>
      </c>
    </row>
    <row r="61" ht="15.75" customHeight="1">
      <c r="A61" s="9" t="str">
        <f>'System Parameters'!A12</f>
        <v>On</v>
      </c>
      <c r="B61" s="16">
        <f>'System Parameters'!B12</f>
        <v>5.0004</v>
      </c>
      <c r="C61" s="9" t="str">
        <f>'System Parameters'!C12</f>
        <v>mW</v>
      </c>
      <c r="D61" s="16">
        <f t="shared" si="3"/>
        <v>5.0004</v>
      </c>
      <c r="E61" s="16">
        <f t="shared" si="5"/>
        <v>5.0004</v>
      </c>
      <c r="F61" s="16">
        <f t="shared" ref="F61:F76" si="9">$B61</f>
        <v>5.0004</v>
      </c>
      <c r="G61" s="9">
        <f>$B61*0.9</f>
        <v>4.50036</v>
      </c>
      <c r="H61" s="16">
        <f t="shared" ref="H61:O61" si="8">$B61</f>
        <v>5.0004</v>
      </c>
      <c r="I61" s="16">
        <f t="shared" si="8"/>
        <v>5.0004</v>
      </c>
      <c r="J61" s="16">
        <f t="shared" si="8"/>
        <v>5.0004</v>
      </c>
      <c r="K61" s="16">
        <f t="shared" si="8"/>
        <v>5.0004</v>
      </c>
      <c r="L61" s="16">
        <f t="shared" si="8"/>
        <v>5.0004</v>
      </c>
      <c r="M61" s="16">
        <f t="shared" si="8"/>
        <v>5.0004</v>
      </c>
      <c r="N61" s="16">
        <f t="shared" si="8"/>
        <v>5.0004</v>
      </c>
      <c r="O61" s="16">
        <f t="shared" si="8"/>
        <v>5.0004</v>
      </c>
      <c r="T61" s="28">
        <f>'System Parameters'!E12</f>
        <v>0</v>
      </c>
      <c r="U61" s="28">
        <f>'System Parameters'!F12</f>
        <v>0.05</v>
      </c>
      <c r="V61" s="28">
        <f>'System Parameters'!G12</f>
        <v>0.5</v>
      </c>
      <c r="W61" s="9" t="str">
        <f>'System Parameters'!H12</f>
        <v/>
      </c>
    </row>
    <row r="62" ht="15.75" customHeight="1">
      <c r="A62" s="9" t="str">
        <f>'System Parameters'!A13</f>
        <v/>
      </c>
      <c r="B62" s="16" t="str">
        <f>'System Parameters'!B13</f>
        <v/>
      </c>
      <c r="C62" s="9" t="str">
        <f>'System Parameters'!C13</f>
        <v/>
      </c>
      <c r="D62" s="16" t="str">
        <f t="shared" si="3"/>
        <v/>
      </c>
      <c r="E62" s="16" t="str">
        <f t="shared" si="5"/>
        <v/>
      </c>
      <c r="F62" s="16" t="str">
        <f t="shared" si="9"/>
        <v/>
      </c>
      <c r="G62" s="16" t="str">
        <f t="shared" ref="G62:O62" si="10">$B62</f>
        <v/>
      </c>
      <c r="H62" s="16" t="str">
        <f t="shared" si="10"/>
        <v/>
      </c>
      <c r="I62" s="16" t="str">
        <f t="shared" si="10"/>
        <v/>
      </c>
      <c r="J62" s="16" t="str">
        <f t="shared" si="10"/>
        <v/>
      </c>
      <c r="K62" s="16" t="str">
        <f t="shared" si="10"/>
        <v/>
      </c>
      <c r="L62" s="16" t="str">
        <f t="shared" si="10"/>
        <v/>
      </c>
      <c r="M62" s="16" t="str">
        <f t="shared" si="10"/>
        <v/>
      </c>
      <c r="N62" s="16" t="str">
        <f t="shared" si="10"/>
        <v/>
      </c>
      <c r="O62" s="16" t="str">
        <f t="shared" si="10"/>
        <v/>
      </c>
      <c r="T62" s="9" t="str">
        <f>'System Parameters'!E13</f>
        <v/>
      </c>
      <c r="U62" s="9" t="str">
        <f>'System Parameters'!F13</f>
        <v/>
      </c>
      <c r="V62" s="9" t="str">
        <f>'System Parameters'!G13</f>
        <v/>
      </c>
      <c r="W62" s="9" t="str">
        <f>'System Parameters'!H13</f>
        <v/>
      </c>
    </row>
    <row r="63" ht="15.75" customHeight="1">
      <c r="A63" s="9" t="str">
        <f>'System Parameters'!A14</f>
        <v/>
      </c>
      <c r="B63" s="16" t="str">
        <f>'System Parameters'!B14</f>
        <v/>
      </c>
      <c r="C63" s="9" t="str">
        <f>'System Parameters'!C14</f>
        <v/>
      </c>
      <c r="D63" s="16" t="str">
        <f t="shared" si="3"/>
        <v/>
      </c>
      <c r="E63" s="16" t="str">
        <f t="shared" si="5"/>
        <v/>
      </c>
      <c r="F63" s="16" t="str">
        <f t="shared" si="9"/>
        <v/>
      </c>
      <c r="G63" s="16" t="str">
        <f t="shared" ref="G63:O63" si="11">$B63</f>
        <v/>
      </c>
      <c r="H63" s="16" t="str">
        <f t="shared" si="11"/>
        <v/>
      </c>
      <c r="I63" s="16" t="str">
        <f t="shared" si="11"/>
        <v/>
      </c>
      <c r="J63" s="16" t="str">
        <f t="shared" si="11"/>
        <v/>
      </c>
      <c r="K63" s="16" t="str">
        <f t="shared" si="11"/>
        <v/>
      </c>
      <c r="L63" s="16" t="str">
        <f t="shared" si="11"/>
        <v/>
      </c>
      <c r="M63" s="16" t="str">
        <f t="shared" si="11"/>
        <v/>
      </c>
      <c r="N63" s="16" t="str">
        <f t="shared" si="11"/>
        <v/>
      </c>
      <c r="O63" s="16" t="str">
        <f t="shared" si="11"/>
        <v/>
      </c>
      <c r="T63" s="9" t="str">
        <f>'System Parameters'!E14</f>
        <v/>
      </c>
      <c r="U63" s="9" t="str">
        <f>'System Parameters'!F14</f>
        <v/>
      </c>
      <c r="V63" s="9" t="str">
        <f>'System Parameters'!G14</f>
        <v/>
      </c>
      <c r="W63" s="9" t="str">
        <f>'System Parameters'!H14</f>
        <v/>
      </c>
    </row>
    <row r="64" ht="15.75" customHeight="1">
      <c r="A64" s="9" t="str">
        <f>'System Parameters'!A15</f>
        <v>Sensor</v>
      </c>
      <c r="B64" s="16" t="str">
        <f>'System Parameters'!B15</f>
        <v/>
      </c>
      <c r="C64" s="9" t="str">
        <f>'System Parameters'!C15</f>
        <v/>
      </c>
      <c r="D64" s="16" t="str">
        <f t="shared" si="3"/>
        <v/>
      </c>
      <c r="E64" s="16" t="str">
        <f t="shared" si="5"/>
        <v/>
      </c>
      <c r="F64" s="16" t="str">
        <f t="shared" si="9"/>
        <v/>
      </c>
      <c r="G64" s="16" t="str">
        <f t="shared" ref="G64:O64" si="12">$B64</f>
        <v/>
      </c>
      <c r="H64" s="16" t="str">
        <f t="shared" si="12"/>
        <v/>
      </c>
      <c r="I64" s="16" t="str">
        <f t="shared" si="12"/>
        <v/>
      </c>
      <c r="J64" s="16" t="str">
        <f t="shared" si="12"/>
        <v/>
      </c>
      <c r="K64" s="16" t="str">
        <f t="shared" si="12"/>
        <v/>
      </c>
      <c r="L64" s="16" t="str">
        <f t="shared" si="12"/>
        <v/>
      </c>
      <c r="M64" s="16" t="str">
        <f t="shared" si="12"/>
        <v/>
      </c>
      <c r="N64" s="16" t="str">
        <f t="shared" si="12"/>
        <v/>
      </c>
      <c r="O64" s="16" t="str">
        <f t="shared" si="12"/>
        <v/>
      </c>
      <c r="T64" s="9" t="str">
        <f>'System Parameters'!E15</f>
        <v/>
      </c>
      <c r="U64" s="9" t="str">
        <f>'System Parameters'!F15</f>
        <v/>
      </c>
      <c r="V64" s="9" t="str">
        <f>'System Parameters'!G15</f>
        <v/>
      </c>
      <c r="W64" s="9" t="str">
        <f>'System Parameters'!H15</f>
        <v/>
      </c>
    </row>
    <row r="65" ht="15.75" customHeight="1">
      <c r="A65" s="9" t="str">
        <f>'System Parameters'!A16</f>
        <v>On</v>
      </c>
      <c r="B65" s="16">
        <f>'System Parameters'!B16</f>
        <v>10</v>
      </c>
      <c r="C65" s="9" t="str">
        <f>'System Parameters'!C16</f>
        <v>mW</v>
      </c>
      <c r="D65" s="16">
        <f t="shared" si="3"/>
        <v>10</v>
      </c>
      <c r="E65" s="16">
        <f t="shared" si="5"/>
        <v>10</v>
      </c>
      <c r="F65" s="16">
        <f t="shared" si="9"/>
        <v>10</v>
      </c>
      <c r="G65" s="16">
        <f t="shared" ref="G65:G76" si="14">$B65</f>
        <v>10</v>
      </c>
      <c r="H65" s="9">
        <f>$B65*0.9</f>
        <v>9</v>
      </c>
      <c r="I65" s="16">
        <f t="shared" ref="I65:O65" si="13">$B65</f>
        <v>10</v>
      </c>
      <c r="J65" s="16">
        <f t="shared" si="13"/>
        <v>10</v>
      </c>
      <c r="K65" s="16">
        <f t="shared" si="13"/>
        <v>10</v>
      </c>
      <c r="L65" s="16">
        <f t="shared" si="13"/>
        <v>10</v>
      </c>
      <c r="M65" s="16">
        <f t="shared" si="13"/>
        <v>10</v>
      </c>
      <c r="N65" s="16">
        <f t="shared" si="13"/>
        <v>10</v>
      </c>
      <c r="O65" s="16">
        <f t="shared" si="13"/>
        <v>10</v>
      </c>
      <c r="T65" s="28">
        <f>'System Parameters'!E16</f>
        <v>0</v>
      </c>
      <c r="U65" s="28">
        <f>'System Parameters'!F16</f>
        <v>0.1</v>
      </c>
      <c r="V65" s="28">
        <f>'System Parameters'!G16</f>
        <v>0.8</v>
      </c>
      <c r="W65" s="9" t="str">
        <f>'System Parameters'!H16</f>
        <v/>
      </c>
    </row>
    <row r="66" ht="15.75" customHeight="1">
      <c r="A66" s="9" t="str">
        <f>'System Parameters'!A17</f>
        <v>Idle</v>
      </c>
      <c r="B66" s="16">
        <f>'System Parameters'!B17</f>
        <v>2</v>
      </c>
      <c r="C66" s="9" t="str">
        <f>'System Parameters'!C17</f>
        <v>mW</v>
      </c>
      <c r="D66" s="16">
        <f t="shared" si="3"/>
        <v>2</v>
      </c>
      <c r="E66" s="16">
        <f t="shared" si="5"/>
        <v>2</v>
      </c>
      <c r="F66" s="16">
        <f t="shared" si="9"/>
        <v>2</v>
      </c>
      <c r="G66" s="16">
        <f t="shared" si="14"/>
        <v>2</v>
      </c>
      <c r="H66" s="16">
        <f t="shared" ref="H66:H76" si="16">$B66</f>
        <v>2</v>
      </c>
      <c r="I66" s="9">
        <f>$B66*0.9</f>
        <v>1.8</v>
      </c>
      <c r="J66" s="16">
        <f t="shared" ref="J66:O66" si="15">$B66</f>
        <v>2</v>
      </c>
      <c r="K66" s="16">
        <f t="shared" si="15"/>
        <v>2</v>
      </c>
      <c r="L66" s="16">
        <f t="shared" si="15"/>
        <v>2</v>
      </c>
      <c r="M66" s="16">
        <f t="shared" si="15"/>
        <v>2</v>
      </c>
      <c r="N66" s="16">
        <f t="shared" si="15"/>
        <v>2</v>
      </c>
      <c r="O66" s="16">
        <f t="shared" si="15"/>
        <v>2</v>
      </c>
      <c r="T66" s="28">
        <f>'System Parameters'!E17</f>
        <v>0</v>
      </c>
      <c r="U66" s="28">
        <f>'System Parameters'!F17</f>
        <v>0.9</v>
      </c>
      <c r="V66" s="28">
        <f>'System Parameters'!G17</f>
        <v>0.2</v>
      </c>
      <c r="W66" s="9" t="str">
        <f>'System Parameters'!H17</f>
        <v/>
      </c>
    </row>
    <row r="67" ht="15.75" customHeight="1">
      <c r="A67" s="9" t="str">
        <f>'System Parameters'!A18</f>
        <v>Off</v>
      </c>
      <c r="B67" s="16">
        <f>'System Parameters'!B18</f>
        <v>0.1</v>
      </c>
      <c r="C67" s="9" t="str">
        <f>'System Parameters'!C18</f>
        <v>mW</v>
      </c>
      <c r="D67" s="16">
        <f t="shared" si="3"/>
        <v>0.1</v>
      </c>
      <c r="E67" s="16">
        <f t="shared" si="5"/>
        <v>0.1</v>
      </c>
      <c r="F67" s="16">
        <f t="shared" si="9"/>
        <v>0.1</v>
      </c>
      <c r="G67" s="16">
        <f t="shared" si="14"/>
        <v>0.1</v>
      </c>
      <c r="H67" s="16">
        <f t="shared" si="16"/>
        <v>0.1</v>
      </c>
      <c r="I67" s="16">
        <f t="shared" ref="I67:I76" si="18">$B67</f>
        <v>0.1</v>
      </c>
      <c r="J67" s="9">
        <f>$B67*0.9</f>
        <v>0.09</v>
      </c>
      <c r="K67" s="16">
        <f t="shared" ref="K67:O67" si="17">$B67</f>
        <v>0.1</v>
      </c>
      <c r="L67" s="16">
        <f t="shared" si="17"/>
        <v>0.1</v>
      </c>
      <c r="M67" s="16">
        <f t="shared" si="17"/>
        <v>0.1</v>
      </c>
      <c r="N67" s="16">
        <f t="shared" si="17"/>
        <v>0.1</v>
      </c>
      <c r="O67" s="16">
        <f t="shared" si="17"/>
        <v>0.1</v>
      </c>
      <c r="T67" s="28">
        <f>'System Parameters'!E18</f>
        <v>1</v>
      </c>
      <c r="U67" s="28">
        <f>'System Parameters'!F18</f>
        <v>0</v>
      </c>
      <c r="V67" s="28">
        <f>'System Parameters'!G18</f>
        <v>0</v>
      </c>
      <c r="W67" s="9" t="str">
        <f>'System Parameters'!H18</f>
        <v/>
      </c>
    </row>
    <row r="68" ht="15.75" customHeight="1">
      <c r="A68" s="9" t="str">
        <f>'System Parameters'!A19</f>
        <v/>
      </c>
      <c r="B68" s="16" t="str">
        <f>'System Parameters'!B19</f>
        <v/>
      </c>
      <c r="C68" s="9" t="str">
        <f>'System Parameters'!C19</f>
        <v/>
      </c>
      <c r="D68" s="16" t="str">
        <f t="shared" si="3"/>
        <v/>
      </c>
      <c r="E68" s="16" t="str">
        <f t="shared" si="5"/>
        <v/>
      </c>
      <c r="F68" s="16" t="str">
        <f t="shared" si="9"/>
        <v/>
      </c>
      <c r="G68" s="16" t="str">
        <f t="shared" si="14"/>
        <v/>
      </c>
      <c r="H68" s="16" t="str">
        <f t="shared" si="16"/>
        <v/>
      </c>
      <c r="I68" s="16" t="str">
        <f t="shared" si="18"/>
        <v/>
      </c>
      <c r="J68" s="16" t="str">
        <f t="shared" ref="J68:O68" si="19">$B68</f>
        <v/>
      </c>
      <c r="K68" s="16" t="str">
        <f t="shared" si="19"/>
        <v/>
      </c>
      <c r="L68" s="16" t="str">
        <f t="shared" si="19"/>
        <v/>
      </c>
      <c r="M68" s="16" t="str">
        <f t="shared" si="19"/>
        <v/>
      </c>
      <c r="N68" s="16" t="str">
        <f t="shared" si="19"/>
        <v/>
      </c>
      <c r="O68" s="16" t="str">
        <f t="shared" si="19"/>
        <v/>
      </c>
      <c r="T68" s="9" t="str">
        <f>'System Parameters'!E19</f>
        <v/>
      </c>
      <c r="U68" s="9" t="str">
        <f>'System Parameters'!F19</f>
        <v/>
      </c>
      <c r="V68" s="9" t="str">
        <f>'System Parameters'!G19</f>
        <v/>
      </c>
      <c r="W68" s="9" t="str">
        <f>'System Parameters'!H19</f>
        <v/>
      </c>
    </row>
    <row r="69" ht="15.75" customHeight="1">
      <c r="A69" s="9" t="str">
        <f>'System Parameters'!A20</f>
        <v>Display</v>
      </c>
      <c r="B69" s="16" t="str">
        <f>'System Parameters'!B20</f>
        <v/>
      </c>
      <c r="C69" s="9" t="str">
        <f>'System Parameters'!C20</f>
        <v/>
      </c>
      <c r="D69" s="16" t="str">
        <f t="shared" si="3"/>
        <v/>
      </c>
      <c r="E69" s="16" t="str">
        <f t="shared" si="5"/>
        <v/>
      </c>
      <c r="F69" s="16" t="str">
        <f t="shared" si="9"/>
        <v/>
      </c>
      <c r="G69" s="16" t="str">
        <f t="shared" si="14"/>
        <v/>
      </c>
      <c r="H69" s="16" t="str">
        <f t="shared" si="16"/>
        <v/>
      </c>
      <c r="I69" s="16" t="str">
        <f t="shared" si="18"/>
        <v/>
      </c>
      <c r="J69" s="16" t="str">
        <f t="shared" ref="J69:O69" si="20">$B69</f>
        <v/>
      </c>
      <c r="K69" s="16" t="str">
        <f t="shared" si="20"/>
        <v/>
      </c>
      <c r="L69" s="16" t="str">
        <f t="shared" si="20"/>
        <v/>
      </c>
      <c r="M69" s="16" t="str">
        <f t="shared" si="20"/>
        <v/>
      </c>
      <c r="N69" s="16" t="str">
        <f t="shared" si="20"/>
        <v/>
      </c>
      <c r="O69" s="16" t="str">
        <f t="shared" si="20"/>
        <v/>
      </c>
      <c r="T69" s="9" t="str">
        <f>'System Parameters'!E20</f>
        <v/>
      </c>
      <c r="U69" s="9" t="str">
        <f>'System Parameters'!F20</f>
        <v/>
      </c>
      <c r="V69" s="9" t="str">
        <f>'System Parameters'!G20</f>
        <v/>
      </c>
      <c r="W69" s="9" t="str">
        <f>'System Parameters'!H20</f>
        <v/>
      </c>
    </row>
    <row r="70" ht="15.75" customHeight="1">
      <c r="A70" s="9" t="str">
        <f>'System Parameters'!A21</f>
        <v>On</v>
      </c>
      <c r="B70" s="16">
        <f>'System Parameters'!B21</f>
        <v>25</v>
      </c>
      <c r="C70" s="9" t="str">
        <f>'System Parameters'!C21</f>
        <v>mW</v>
      </c>
      <c r="D70" s="16">
        <f t="shared" si="3"/>
        <v>25</v>
      </c>
      <c r="E70" s="16">
        <f t="shared" si="5"/>
        <v>25</v>
      </c>
      <c r="F70" s="16">
        <f t="shared" si="9"/>
        <v>25</v>
      </c>
      <c r="G70" s="16">
        <f t="shared" si="14"/>
        <v>25</v>
      </c>
      <c r="H70" s="16">
        <f t="shared" si="16"/>
        <v>25</v>
      </c>
      <c r="I70" s="16">
        <f t="shared" si="18"/>
        <v>25</v>
      </c>
      <c r="J70" s="16">
        <f t="shared" ref="J70:J76" si="22">$B70</f>
        <v>25</v>
      </c>
      <c r="K70" s="9">
        <f>$B70*0.9</f>
        <v>22.5</v>
      </c>
      <c r="L70" s="16">
        <f t="shared" ref="L70:O70" si="21">$B70</f>
        <v>25</v>
      </c>
      <c r="M70" s="16">
        <f t="shared" si="21"/>
        <v>25</v>
      </c>
      <c r="N70" s="16">
        <f t="shared" si="21"/>
        <v>25</v>
      </c>
      <c r="O70" s="16">
        <f t="shared" si="21"/>
        <v>25</v>
      </c>
      <c r="T70" s="28">
        <f>'System Parameters'!E21</f>
        <v>0</v>
      </c>
      <c r="U70" s="28">
        <f>'System Parameters'!F21</f>
        <v>0.2</v>
      </c>
      <c r="V70" s="28">
        <f>'System Parameters'!G21</f>
        <v>1</v>
      </c>
      <c r="W70" s="9" t="str">
        <f>'System Parameters'!H21</f>
        <v/>
      </c>
    </row>
    <row r="71" ht="15.75" customHeight="1">
      <c r="A71" s="9" t="str">
        <f>'System Parameters'!A22</f>
        <v>Off (leakage)</v>
      </c>
      <c r="B71" s="16">
        <f>'System Parameters'!B22</f>
        <v>1.0006</v>
      </c>
      <c r="C71" s="9" t="str">
        <f>'System Parameters'!C22</f>
        <v>mW</v>
      </c>
      <c r="D71" s="16">
        <f t="shared" si="3"/>
        <v>1.0006</v>
      </c>
      <c r="E71" s="16">
        <f t="shared" si="5"/>
        <v>1.0006</v>
      </c>
      <c r="F71" s="16">
        <f t="shared" si="9"/>
        <v>1.0006</v>
      </c>
      <c r="G71" s="16">
        <f t="shared" si="14"/>
        <v>1.0006</v>
      </c>
      <c r="H71" s="16">
        <f t="shared" si="16"/>
        <v>1.0006</v>
      </c>
      <c r="I71" s="16">
        <f t="shared" si="18"/>
        <v>1.0006</v>
      </c>
      <c r="J71" s="16">
        <f t="shared" si="22"/>
        <v>1.0006</v>
      </c>
      <c r="K71" s="16">
        <f t="shared" ref="K71:K76" si="24">$B71</f>
        <v>1.0006</v>
      </c>
      <c r="L71" s="9">
        <f>$B71*0.9</f>
        <v>0.90054</v>
      </c>
      <c r="M71" s="16">
        <f t="shared" ref="M71:O71" si="23">$B71</f>
        <v>1.0006</v>
      </c>
      <c r="N71" s="16">
        <f t="shared" si="23"/>
        <v>1.0006</v>
      </c>
      <c r="O71" s="16">
        <f t="shared" si="23"/>
        <v>1.0006</v>
      </c>
      <c r="T71" s="28">
        <f>'System Parameters'!E22</f>
        <v>1</v>
      </c>
      <c r="U71" s="28">
        <f>'System Parameters'!F22</f>
        <v>0.8</v>
      </c>
      <c r="V71" s="28">
        <f>'System Parameters'!G22</f>
        <v>0</v>
      </c>
      <c r="W71" s="9" t="str">
        <f>'System Parameters'!H22</f>
        <v/>
      </c>
    </row>
    <row r="72" ht="15.75" customHeight="1">
      <c r="A72" s="9" t="str">
        <f>'System Parameters'!A23</f>
        <v/>
      </c>
      <c r="B72" s="9" t="str">
        <f>'System Parameters'!B23</f>
        <v/>
      </c>
      <c r="C72" s="9" t="str">
        <f>'System Parameters'!C23</f>
        <v/>
      </c>
      <c r="D72" s="9" t="str">
        <f t="shared" si="3"/>
        <v/>
      </c>
      <c r="E72" s="9" t="str">
        <f t="shared" si="5"/>
        <v/>
      </c>
      <c r="F72" s="9" t="str">
        <f t="shared" si="9"/>
        <v/>
      </c>
      <c r="G72" s="9" t="str">
        <f t="shared" si="14"/>
        <v/>
      </c>
      <c r="H72" s="9" t="str">
        <f t="shared" si="16"/>
        <v/>
      </c>
      <c r="I72" s="9" t="str">
        <f t="shared" si="18"/>
        <v/>
      </c>
      <c r="J72" s="9" t="str">
        <f t="shared" si="22"/>
        <v/>
      </c>
      <c r="K72" s="9" t="str">
        <f t="shared" si="24"/>
        <v/>
      </c>
      <c r="L72" s="9" t="str">
        <f t="shared" ref="L72:O72" si="25">$B72</f>
        <v/>
      </c>
      <c r="M72" s="9" t="str">
        <f t="shared" si="25"/>
        <v/>
      </c>
      <c r="N72" s="9" t="str">
        <f t="shared" si="25"/>
        <v/>
      </c>
      <c r="O72" s="9" t="str">
        <f t="shared" si="25"/>
        <v/>
      </c>
      <c r="T72" s="9" t="str">
        <f>'System Parameters'!E23</f>
        <v/>
      </c>
      <c r="U72" s="9" t="str">
        <f>'System Parameters'!F23</f>
        <v/>
      </c>
      <c r="V72" s="9" t="str">
        <f>'System Parameters'!G23</f>
        <v/>
      </c>
      <c r="W72" s="9" t="str">
        <f>'System Parameters'!H23</f>
        <v/>
      </c>
    </row>
    <row r="73" ht="15.75" customHeight="1">
      <c r="A73" s="9" t="str">
        <f>'System Parameters'!A24</f>
        <v>Radio</v>
      </c>
      <c r="B73" s="9" t="str">
        <f>'System Parameters'!B24</f>
        <v/>
      </c>
      <c r="C73" s="9" t="str">
        <f>'System Parameters'!C24</f>
        <v/>
      </c>
      <c r="D73" s="9" t="str">
        <f t="shared" si="3"/>
        <v/>
      </c>
      <c r="E73" s="9" t="str">
        <f t="shared" si="5"/>
        <v/>
      </c>
      <c r="F73" s="9" t="str">
        <f t="shared" si="9"/>
        <v/>
      </c>
      <c r="G73" s="9" t="str">
        <f t="shared" si="14"/>
        <v/>
      </c>
      <c r="H73" s="9" t="str">
        <f t="shared" si="16"/>
        <v/>
      </c>
      <c r="I73" s="9" t="str">
        <f t="shared" si="18"/>
        <v/>
      </c>
      <c r="J73" s="9" t="str">
        <f t="shared" si="22"/>
        <v/>
      </c>
      <c r="K73" s="9" t="str">
        <f t="shared" si="24"/>
        <v/>
      </c>
      <c r="L73" s="9" t="str">
        <f t="shared" ref="L73:O73" si="26">$B73</f>
        <v/>
      </c>
      <c r="M73" s="9" t="str">
        <f t="shared" si="26"/>
        <v/>
      </c>
      <c r="N73" s="9" t="str">
        <f t="shared" si="26"/>
        <v/>
      </c>
      <c r="O73" s="9" t="str">
        <f t="shared" si="26"/>
        <v/>
      </c>
      <c r="T73" s="9" t="str">
        <f>'System Parameters'!E24</f>
        <v/>
      </c>
      <c r="U73" s="9" t="str">
        <f>'System Parameters'!F24</f>
        <v/>
      </c>
      <c r="V73" s="9" t="str">
        <f>'System Parameters'!G24</f>
        <v/>
      </c>
      <c r="W73" s="9" t="str">
        <f>'System Parameters'!H24</f>
        <v/>
      </c>
    </row>
    <row r="74" ht="15.75" customHeight="1">
      <c r="A74" s="9" t="str">
        <f>'System Parameters'!A26</f>
        <v>Standby Power</v>
      </c>
      <c r="B74" s="16">
        <f>'System Parameters'!B26</f>
        <v>5.00002</v>
      </c>
      <c r="C74" s="9" t="str">
        <f>'System Parameters'!C26</f>
        <v>mW</v>
      </c>
      <c r="D74" s="16">
        <f t="shared" si="3"/>
        <v>5.00002</v>
      </c>
      <c r="E74" s="16">
        <f t="shared" si="5"/>
        <v>5.00002</v>
      </c>
      <c r="F74" s="16">
        <f t="shared" si="9"/>
        <v>5.00002</v>
      </c>
      <c r="G74" s="16">
        <f t="shared" si="14"/>
        <v>5.00002</v>
      </c>
      <c r="H74" s="16">
        <f t="shared" si="16"/>
        <v>5.00002</v>
      </c>
      <c r="I74" s="16">
        <f t="shared" si="18"/>
        <v>5.00002</v>
      </c>
      <c r="J74" s="16">
        <f t="shared" si="22"/>
        <v>5.00002</v>
      </c>
      <c r="K74" s="16">
        <f t="shared" si="24"/>
        <v>5.00002</v>
      </c>
      <c r="L74" s="16">
        <f t="shared" ref="L74:L76" si="28">$B74</f>
        <v>5.00002</v>
      </c>
      <c r="M74" s="9">
        <f>$B74*0.9</f>
        <v>4.500018</v>
      </c>
      <c r="N74" s="16">
        <f t="shared" ref="N74:O74" si="27">$B74</f>
        <v>5.00002</v>
      </c>
      <c r="O74" s="16">
        <f t="shared" si="27"/>
        <v>5.00002</v>
      </c>
      <c r="T74" s="28">
        <f>'System Parameters'!E26</f>
        <v>0.98</v>
      </c>
      <c r="U74" s="28">
        <f>'System Parameters'!F26</f>
        <v>0.95</v>
      </c>
      <c r="V74" s="28">
        <f>'System Parameters'!G26</f>
        <v>0.9</v>
      </c>
      <c r="W74" s="9" t="str">
        <f>'System Parameters'!H26</f>
        <v/>
      </c>
    </row>
    <row r="75" ht="15.75" customHeight="1">
      <c r="A75" s="9" t="str">
        <f>'System Parameters'!A27</f>
        <v>TX Power</v>
      </c>
      <c r="B75" s="16">
        <f>'System Parameters'!B27</f>
        <v>250</v>
      </c>
      <c r="C75" s="9" t="str">
        <f>'System Parameters'!C27</f>
        <v>mW</v>
      </c>
      <c r="D75" s="16">
        <f t="shared" si="3"/>
        <v>250</v>
      </c>
      <c r="E75" s="16">
        <f t="shared" si="5"/>
        <v>250</v>
      </c>
      <c r="F75" s="16">
        <f t="shared" si="9"/>
        <v>250</v>
      </c>
      <c r="G75" s="16">
        <f t="shared" si="14"/>
        <v>250</v>
      </c>
      <c r="H75" s="16">
        <f t="shared" si="16"/>
        <v>250</v>
      </c>
      <c r="I75" s="16">
        <f t="shared" si="18"/>
        <v>250</v>
      </c>
      <c r="J75" s="16">
        <f t="shared" si="22"/>
        <v>250</v>
      </c>
      <c r="K75" s="16">
        <f t="shared" si="24"/>
        <v>250</v>
      </c>
      <c r="L75" s="16">
        <f t="shared" si="28"/>
        <v>250</v>
      </c>
      <c r="M75" s="16">
        <f t="shared" ref="M75:M76" si="29">$B75</f>
        <v>250</v>
      </c>
      <c r="N75" s="9">
        <f>$B75*0.9</f>
        <v>225</v>
      </c>
      <c r="O75" s="16">
        <f>$B75</f>
        <v>250</v>
      </c>
      <c r="T75" s="28">
        <f>'System Parameters'!E27</f>
        <v>0</v>
      </c>
      <c r="U75" s="28">
        <f>'System Parameters'!F27</f>
        <v>0.01</v>
      </c>
      <c r="V75" s="28">
        <f>'System Parameters'!G27</f>
        <v>0.05</v>
      </c>
      <c r="W75" s="9" t="str">
        <f>'System Parameters'!H27</f>
        <v/>
      </c>
    </row>
    <row r="76" ht="15.75" customHeight="1">
      <c r="A76" s="9" t="str">
        <f>'System Parameters'!A28</f>
        <v>RX Power</v>
      </c>
      <c r="B76" s="16">
        <f>'System Parameters'!B28</f>
        <v>120</v>
      </c>
      <c r="C76" s="9" t="str">
        <f>'System Parameters'!C28</f>
        <v>mW</v>
      </c>
      <c r="D76" s="16">
        <f t="shared" si="3"/>
        <v>120</v>
      </c>
      <c r="E76" s="16">
        <f t="shared" si="5"/>
        <v>120</v>
      </c>
      <c r="F76" s="16">
        <f t="shared" si="9"/>
        <v>120</v>
      </c>
      <c r="G76" s="16">
        <f t="shared" si="14"/>
        <v>120</v>
      </c>
      <c r="H76" s="16">
        <f t="shared" si="16"/>
        <v>120</v>
      </c>
      <c r="I76" s="16">
        <f t="shared" si="18"/>
        <v>120</v>
      </c>
      <c r="J76" s="16">
        <f t="shared" si="22"/>
        <v>120</v>
      </c>
      <c r="K76" s="16">
        <f t="shared" si="24"/>
        <v>120</v>
      </c>
      <c r="L76" s="16">
        <f t="shared" si="28"/>
        <v>120</v>
      </c>
      <c r="M76" s="16">
        <f t="shared" si="29"/>
        <v>120</v>
      </c>
      <c r="N76" s="16">
        <f>$B76</f>
        <v>120</v>
      </c>
      <c r="O76" s="9">
        <f>$B76*0.9</f>
        <v>108</v>
      </c>
      <c r="T76" s="28">
        <f>'System Parameters'!E28</f>
        <v>0</v>
      </c>
      <c r="U76" s="28">
        <f>'System Parameters'!F28</f>
        <v>0.01</v>
      </c>
      <c r="V76" s="28">
        <f>'System Parameters'!G28</f>
        <v>0.05</v>
      </c>
      <c r="W76" s="9" t="str">
        <f>'System Parameters'!H28</f>
        <v/>
      </c>
    </row>
    <row r="77" ht="15.75" customHeight="1">
      <c r="A77" s="9" t="str">
        <f>'System Parameters'!A29</f>
        <v/>
      </c>
      <c r="B77" s="9" t="str">
        <f>'System Parameters'!B29</f>
        <v/>
      </c>
      <c r="C77" s="9" t="str">
        <f>'System Parameters'!C29</f>
        <v/>
      </c>
      <c r="D77" s="9" t="str">
        <f>'System Parameters'!D29</f>
        <v/>
      </c>
      <c r="T77" s="9" t="str">
        <f>'System Parameters'!E29</f>
        <v/>
      </c>
      <c r="U77" s="9" t="str">
        <f>'System Parameters'!F29</f>
        <v/>
      </c>
      <c r="V77" s="9" t="str">
        <f>'System Parameters'!G29</f>
        <v/>
      </c>
      <c r="W77" s="9" t="str">
        <f>'System Parameters'!H29</f>
        <v/>
      </c>
    </row>
    <row r="78" ht="15.75" customHeight="1">
      <c r="A78" s="9" t="str">
        <f>'System Parameters'!A30</f>
        <v/>
      </c>
      <c r="B78" s="9" t="str">
        <f>'System Parameters'!B30</f>
        <v/>
      </c>
      <c r="C78" s="9" t="str">
        <f>'System Parameters'!C30</f>
        <v/>
      </c>
      <c r="D78" s="9" t="str">
        <f>'System Parameters'!D30</f>
        <v/>
      </c>
      <c r="T78" s="9">
        <f>'System Parameters'!E30</f>
        <v>16</v>
      </c>
      <c r="U78" s="9">
        <f>'System Parameters'!F30</f>
        <v>7</v>
      </c>
      <c r="V78" s="9">
        <f>'System Parameters'!G30</f>
        <v>1</v>
      </c>
      <c r="W78" s="9" t="str">
        <f>'System Parameters'!H30</f>
        <v>hours/day typical usage</v>
      </c>
    </row>
    <row r="79" ht="15.75" customHeight="1">
      <c r="A79" s="9" t="str">
        <f>'System Parameters'!A31</f>
        <v>Battery</v>
      </c>
      <c r="B79" s="9" t="str">
        <f>'System Parameters'!B31</f>
        <v/>
      </c>
      <c r="C79" s="9" t="str">
        <f>'System Parameters'!C31</f>
        <v/>
      </c>
      <c r="D79" s="9" t="str">
        <f>'System Parameters'!D31</f>
        <v/>
      </c>
      <c r="T79" s="9" t="str">
        <f>'System Parameters'!E31</f>
        <v/>
      </c>
      <c r="U79" s="9" t="str">
        <f>'System Parameters'!F31</f>
        <v/>
      </c>
      <c r="V79" s="9" t="str">
        <f>'System Parameters'!G31</f>
        <v/>
      </c>
      <c r="W79" s="9" t="str">
        <f>'System Parameters'!H31</f>
        <v/>
      </c>
    </row>
    <row r="80" ht="15.75" customHeight="1">
      <c r="A80" s="9" t="str">
        <f>'System Parameters'!A32</f>
        <v>Capacity</v>
      </c>
      <c r="B80" s="16">
        <f>'System Parameters'!B32</f>
        <v>500</v>
      </c>
      <c r="C80" s="9" t="str">
        <f>'System Parameters'!C32</f>
        <v>mAh</v>
      </c>
      <c r="D80" s="9" t="str">
        <f>'System Parameters'!D32</f>
        <v/>
      </c>
      <c r="T80" s="9" t="str">
        <f>'System Parameters'!E32</f>
        <v/>
      </c>
      <c r="U80" s="9" t="str">
        <f>'System Parameters'!F32</f>
        <v/>
      </c>
      <c r="V80" s="9" t="str">
        <f>'System Parameters'!G32</f>
        <v/>
      </c>
      <c r="W80" s="9" t="str">
        <f>'System Parameters'!H32</f>
        <v/>
      </c>
    </row>
    <row r="81" ht="15.75" customHeight="1">
      <c r="A81" s="9" t="str">
        <f>'System Parameters'!A33</f>
        <v>Nominal Voltage</v>
      </c>
      <c r="B81" s="16">
        <f>'System Parameters'!B33</f>
        <v>3.3</v>
      </c>
      <c r="C81" s="9" t="str">
        <f>'System Parameters'!C33</f>
        <v>V</v>
      </c>
      <c r="D81" s="9" t="str">
        <f>'System Parameters'!D33</f>
        <v/>
      </c>
      <c r="T81" s="9" t="str">
        <f>'System Parameters'!E33</f>
        <v/>
      </c>
      <c r="U81" s="9" t="str">
        <f>'System Parameters'!F33</f>
        <v/>
      </c>
      <c r="V81" s="9" t="str">
        <f>'System Parameters'!G33</f>
        <v/>
      </c>
      <c r="W81" s="9" t="str">
        <f>'System Parameters'!H33</f>
        <v/>
      </c>
    </row>
    <row r="82" ht="15.75" customHeight="1">
      <c r="A82" s="9" t="str">
        <f>'System Parameters'!A34</f>
        <v>Regulator Efficiency</v>
      </c>
      <c r="B82" s="28">
        <f>'System Parameters'!B34</f>
        <v>0.95</v>
      </c>
      <c r="C82" s="9" t="str">
        <f>'System Parameters'!C34</f>
        <v/>
      </c>
      <c r="D82" s="9" t="str">
        <f>'System Parameters'!D34</f>
        <v/>
      </c>
      <c r="T82" s="9" t="str">
        <f>'System Parameters'!E34</f>
        <v/>
      </c>
      <c r="U82" s="9" t="str">
        <f>'System Parameters'!F34</f>
        <v/>
      </c>
      <c r="V82" s="9" t="str">
        <f>'System Parameters'!G34</f>
        <v/>
      </c>
      <c r="W82" s="9" t="str">
        <f>'System Parameters'!H34</f>
        <v/>
      </c>
    </row>
    <row r="83" ht="15.75" customHeight="1">
      <c r="A83" s="9" t="str">
        <f>'System Parameters'!A35</f>
        <v/>
      </c>
      <c r="B83" s="9" t="str">
        <f>'System Parameters'!B35</f>
        <v/>
      </c>
      <c r="C83" s="9" t="str">
        <f>'System Parameters'!C35</f>
        <v/>
      </c>
      <c r="D83" s="9" t="str">
        <f>'System Parameters'!D35</f>
        <v/>
      </c>
      <c r="O83" s="9" t="str">
        <f>'System Parameters'!E35</f>
        <v/>
      </c>
      <c r="P83" s="9" t="str">
        <f>'System Parameters'!F35</f>
        <v/>
      </c>
      <c r="Q83" s="9" t="str">
        <f>'System Parameters'!G35</f>
        <v/>
      </c>
      <c r="R83" s="9" t="str">
        <f>'System Parameters'!H35</f>
        <v/>
      </c>
      <c r="S83" s="9" t="str">
        <f>'System Parameters'!I35</f>
        <v/>
      </c>
      <c r="T83" s="9" t="str">
        <f>'System Parameters'!J35</f>
        <v/>
      </c>
      <c r="U83" s="9" t="str">
        <f t="shared" ref="U83:V83" si="30">#REF!</f>
        <v>#REF!</v>
      </c>
      <c r="V83" s="9" t="str">
        <f t="shared" si="30"/>
        <v>#REF!</v>
      </c>
    </row>
    <row r="84" ht="15.75" customHeight="1">
      <c r="A84" s="9" t="str">
        <f>'System Parameters'!A36</f>
        <v/>
      </c>
      <c r="B84" s="9" t="str">
        <f>'System Parameters'!B36</f>
        <v/>
      </c>
      <c r="C84" s="9" t="str">
        <f>'System Parameters'!C36</f>
        <v/>
      </c>
      <c r="D84" s="9" t="str">
        <f>'System Parameters'!D36</f>
        <v/>
      </c>
      <c r="O84" s="9" t="str">
        <f>'System Parameters'!E36</f>
        <v/>
      </c>
      <c r="P84" s="9" t="str">
        <f>'System Parameters'!F36</f>
        <v/>
      </c>
      <c r="Q84" s="9" t="str">
        <f>'System Parameters'!G36</f>
        <v/>
      </c>
      <c r="R84" s="9" t="str">
        <f>'System Parameters'!H36</f>
        <v/>
      </c>
      <c r="S84" s="9" t="str">
        <f>'System Parameters'!I36</f>
        <v/>
      </c>
      <c r="T84" s="9" t="str">
        <f>'System Parameters'!J36</f>
        <v/>
      </c>
      <c r="U84" s="9" t="str">
        <f t="shared" ref="U84:V84" si="31">#REF!</f>
        <v>#REF!</v>
      </c>
      <c r="V84" s="9" t="str">
        <f t="shared" si="31"/>
        <v>#REF!</v>
      </c>
    </row>
    <row r="85" ht="15.75" customHeight="1">
      <c r="A85" s="9" t="str">
        <f>'System Parameters'!A37</f>
        <v/>
      </c>
      <c r="B85" s="9" t="str">
        <f>'System Parameters'!K24</f>
        <v/>
      </c>
      <c r="C85" s="9" t="str">
        <f>'System Parameters'!L24</f>
        <v/>
      </c>
      <c r="D85" s="9" t="str">
        <f>'System Parameters'!M24</f>
        <v/>
      </c>
      <c r="O85" s="9" t="str">
        <f>'System Parameters'!N24</f>
        <v/>
      </c>
      <c r="P85" s="9" t="str">
        <f>'System Parameters'!O24</f>
        <v/>
      </c>
      <c r="Q85" s="9" t="str">
        <f>'System Parameters'!P24</f>
        <v/>
      </c>
      <c r="R85" s="9" t="str">
        <f>'System Parameters'!Q24</f>
        <v/>
      </c>
      <c r="S85" s="9" t="str">
        <f>'System Parameters'!I37</f>
        <v/>
      </c>
      <c r="T85" s="9" t="str">
        <f>'System Parameters'!J37</f>
        <v>Days of use is calculated by combining the average daily energy </v>
      </c>
      <c r="U85" s="9" t="str">
        <f t="shared" ref="U85:V85" si="32">#REF!</f>
        <v>#REF!</v>
      </c>
      <c r="V85" s="9" t="str">
        <f t="shared" si="32"/>
        <v>#REF!</v>
      </c>
    </row>
    <row r="86" ht="15.75" customHeight="1">
      <c r="A86" s="9" t="str">
        <f>'System Parameters'!A38</f>
        <v>REFLECTIONS : WHAT DID YOU LEARN FROM ANALYZING YOUR POWER.  TALK ABOUT SOME POTENTIAL TRADEOFFS. </v>
      </c>
      <c r="B86" s="9" t="str">
        <f>'System Parameters'!K25</f>
        <v/>
      </c>
      <c r="C86" s="9" t="str">
        <f t="shared" ref="C86:D86" si="33">#REF!</f>
        <v>#REF!</v>
      </c>
      <c r="D86" s="9" t="str">
        <f t="shared" si="33"/>
        <v>#REF!</v>
      </c>
      <c r="O86" s="9" t="str">
        <f t="shared" ref="O86:Q86" si="34">#REF!</f>
        <v>#REF!</v>
      </c>
      <c r="P86" s="9" t="str">
        <f t="shared" si="34"/>
        <v>#REF!</v>
      </c>
      <c r="Q86" s="9" t="str">
        <f t="shared" si="34"/>
        <v>#REF!</v>
      </c>
      <c r="R86" s="9" t="str">
        <f>'System Parameters'!Q25</f>
        <v/>
      </c>
      <c r="S86" s="9" t="str">
        <f>'System Parameters'!I38</f>
        <v/>
      </c>
      <c r="T86" s="9" t="str">
        <f>'System Parameters'!J38</f>
        <v>consumption across off, sensing, and interactive modes based on expected daily usage hours.</v>
      </c>
      <c r="U86" s="9" t="str">
        <f t="shared" ref="U86:V86" si="35">#REF!</f>
        <v>#REF!</v>
      </c>
      <c r="V86" s="9" t="str">
        <f t="shared" si="35"/>
        <v>#REF!</v>
      </c>
    </row>
    <row r="87" ht="15.75" customHeight="1">
      <c r="A87" s="9" t="str">
        <f>'System Parameters'!L25</f>
        <v>Total power in profile (mw)</v>
      </c>
      <c r="B87" s="9" t="str">
        <f>'System Parameters'!M25</f>
        <v/>
      </c>
      <c r="C87" s="9" t="str">
        <f>'System Parameters'!N25</f>
        <v/>
      </c>
      <c r="R87" s="9" t="str">
        <f>'System Parameters'!Q26</f>
        <v/>
      </c>
      <c r="S87" s="9" t="str">
        <f>'System Parameters'!I39</f>
        <v/>
      </c>
      <c r="T87" s="9" t="str">
        <f>'System Parameters'!J39</f>
        <v/>
      </c>
      <c r="U87" s="9" t="str">
        <f>'System Parameters'!K39</f>
        <v/>
      </c>
      <c r="V87" s="9" t="str">
        <f>'System Parameters'!L39</f>
        <v/>
      </c>
    </row>
    <row r="88" ht="15.75" customHeight="1">
      <c r="A88" s="9" t="str">
        <f>'System Parameters'!L26</f>
        <v>"off"</v>
      </c>
      <c r="B88" s="9">
        <f>sumproduct(B56:B76, $T56:$T76)</f>
        <v>7.0009696</v>
      </c>
      <c r="C88" s="9" t="str">
        <f>'System Parameters'!N26</f>
        <v>mW</v>
      </c>
      <c r="D88" s="9">
        <f t="shared" ref="D88:O88" si="36">sumproduct(D56:D76, $T56:$T76)</f>
        <v>7.0009696</v>
      </c>
      <c r="E88" s="9">
        <f t="shared" si="36"/>
        <v>7.0009696</v>
      </c>
      <c r="F88" s="9">
        <f t="shared" si="36"/>
        <v>6.9009346</v>
      </c>
      <c r="G88" s="9">
        <f t="shared" si="36"/>
        <v>7.0009696</v>
      </c>
      <c r="H88" s="9">
        <f t="shared" si="36"/>
        <v>7.0009696</v>
      </c>
      <c r="I88" s="9">
        <f t="shared" si="36"/>
        <v>7.0009696</v>
      </c>
      <c r="J88" s="9">
        <f t="shared" si="36"/>
        <v>6.9909696</v>
      </c>
      <c r="K88" s="9">
        <f t="shared" si="36"/>
        <v>7.0009696</v>
      </c>
      <c r="L88" s="9">
        <f t="shared" si="36"/>
        <v>6.9009096</v>
      </c>
      <c r="M88" s="9">
        <f t="shared" si="36"/>
        <v>6.51096764</v>
      </c>
      <c r="N88" s="9">
        <f t="shared" si="36"/>
        <v>7.0009696</v>
      </c>
      <c r="O88" s="9">
        <f t="shared" si="36"/>
        <v>7.0009696</v>
      </c>
      <c r="R88" s="9" t="str">
        <f>'System Parameters'!Q27</f>
        <v/>
      </c>
      <c r="S88" s="9" t="str">
        <f>'System Parameters'!I40</f>
        <v/>
      </c>
      <c r="T88" s="9" t="str">
        <f>'System Parameters'!J40</f>
        <v/>
      </c>
      <c r="U88" s="9" t="str">
        <f>'System Parameters'!K40</f>
        <v/>
      </c>
      <c r="V88" s="9" t="str">
        <f>'System Parameters'!L40</f>
        <v/>
      </c>
    </row>
    <row r="89" ht="15.75" customHeight="1">
      <c r="A89" s="9" t="str">
        <f>'System Parameters'!L27</f>
        <v>"sensing"</v>
      </c>
      <c r="B89" s="9">
        <f>sumproduct(B56:B76,$U56:$U76)</f>
        <v>34.000764</v>
      </c>
      <c r="C89" s="9" t="str">
        <f>'System Parameters'!N27</f>
        <v>mW</v>
      </c>
      <c r="D89" s="9">
        <f t="shared" ref="D89:O89" si="37">sumproduct(D56:D76,$U56:$U76)</f>
        <v>32.800764</v>
      </c>
      <c r="E89" s="9">
        <f t="shared" si="37"/>
        <v>33.600764</v>
      </c>
      <c r="F89" s="9">
        <f t="shared" si="37"/>
        <v>33.9307395</v>
      </c>
      <c r="G89" s="9">
        <f t="shared" si="37"/>
        <v>33.975762</v>
      </c>
      <c r="H89" s="9">
        <f t="shared" si="37"/>
        <v>33.900764</v>
      </c>
      <c r="I89" s="9">
        <f t="shared" si="37"/>
        <v>33.820764</v>
      </c>
      <c r="J89" s="9">
        <f t="shared" si="37"/>
        <v>34.000764</v>
      </c>
      <c r="K89" s="9">
        <f t="shared" si="37"/>
        <v>33.500764</v>
      </c>
      <c r="L89" s="9">
        <f t="shared" si="37"/>
        <v>33.920716</v>
      </c>
      <c r="M89" s="9">
        <f t="shared" si="37"/>
        <v>33.5257621</v>
      </c>
      <c r="N89" s="9">
        <f t="shared" si="37"/>
        <v>33.750764</v>
      </c>
      <c r="O89" s="9">
        <f t="shared" si="37"/>
        <v>33.880764</v>
      </c>
      <c r="R89" s="9" t="str">
        <f>'System Parameters'!Q28</f>
        <v/>
      </c>
      <c r="S89" s="9" t="str">
        <f>'System Parameters'!I41</f>
        <v/>
      </c>
      <c r="T89" s="9" t="str">
        <f>'System Parameters'!J41</f>
        <v/>
      </c>
      <c r="U89" s="9" t="str">
        <f>'System Parameters'!K41</f>
        <v/>
      </c>
      <c r="V89" s="9" t="str">
        <f>'System Parameters'!L41</f>
        <v/>
      </c>
    </row>
    <row r="90" ht="15.75" customHeight="1">
      <c r="A90" s="9" t="str">
        <f>'System Parameters'!L28</f>
        <v>"interactive"</v>
      </c>
      <c r="B90" s="9">
        <f>sumproduct(B56:B76, $V56:$V76)</f>
        <v>125.100288</v>
      </c>
      <c r="C90" s="9" t="str">
        <f>'System Parameters'!N28</f>
        <v>mW</v>
      </c>
      <c r="D90" s="9">
        <f t="shared" ref="D90:O90" si="38">sumproduct(D56:D76, $V56:$V76)</f>
        <v>119.100288</v>
      </c>
      <c r="E90" s="9">
        <f t="shared" si="38"/>
        <v>124.500288</v>
      </c>
      <c r="F90" s="9">
        <f t="shared" si="38"/>
        <v>125.080281</v>
      </c>
      <c r="G90" s="9">
        <f t="shared" si="38"/>
        <v>124.850268</v>
      </c>
      <c r="H90" s="9">
        <f t="shared" si="38"/>
        <v>124.300288</v>
      </c>
      <c r="I90" s="9">
        <f t="shared" si="38"/>
        <v>125.060288</v>
      </c>
      <c r="J90" s="9">
        <f t="shared" si="38"/>
        <v>125.100288</v>
      </c>
      <c r="K90" s="9">
        <f t="shared" si="38"/>
        <v>122.600288</v>
      </c>
      <c r="L90" s="9">
        <f t="shared" si="38"/>
        <v>125.100288</v>
      </c>
      <c r="M90" s="9">
        <f t="shared" si="38"/>
        <v>124.6502862</v>
      </c>
      <c r="N90" s="9">
        <f t="shared" si="38"/>
        <v>123.850288</v>
      </c>
      <c r="O90" s="9">
        <f t="shared" si="38"/>
        <v>124.500288</v>
      </c>
      <c r="R90" s="9" t="str">
        <f>'System Parameters'!Q29</f>
        <v/>
      </c>
      <c r="S90" s="9" t="str">
        <f>'System Parameters'!I42</f>
        <v/>
      </c>
      <c r="T90" s="9" t="str">
        <f>'System Parameters'!J42</f>
        <v/>
      </c>
      <c r="U90" s="9" t="str">
        <f>'System Parameters'!K42</f>
        <v/>
      </c>
      <c r="V90" s="9" t="str">
        <f>'System Parameters'!L42</f>
        <v/>
      </c>
    </row>
    <row r="91" ht="15.75" customHeight="1">
      <c r="A91" s="9" t="str">
        <f>'System Parameters'!L29</f>
        <v/>
      </c>
      <c r="B91" s="9" t="str">
        <f>'System Parameters'!M29</f>
        <v/>
      </c>
      <c r="C91" s="9" t="str">
        <f>'System Parameters'!N29</f>
        <v/>
      </c>
      <c r="D91" s="9" t="str">
        <f>'System Parameters'!O29</f>
        <v/>
      </c>
      <c r="E91" s="9" t="str">
        <f>'System Parameters'!P29</f>
        <v/>
      </c>
      <c r="F91" s="9" t="str">
        <f>'System Parameters'!Q30</f>
        <v/>
      </c>
      <c r="G91" s="9" t="str">
        <f>'System Parameters'!I43</f>
        <v/>
      </c>
      <c r="H91" s="9" t="str">
        <f>'System Parameters'!J43</f>
        <v/>
      </c>
      <c r="I91" s="9" t="str">
        <f>'System Parameters'!K43</f>
        <v/>
      </c>
      <c r="J91" s="9" t="str">
        <f>'System Parameters'!L43</f>
        <v/>
      </c>
      <c r="K91" s="9" t="str">
        <f>'System Parameters'!M43</f>
        <v/>
      </c>
      <c r="L91" s="9" t="str">
        <f>'System Parameters'!N43</f>
        <v/>
      </c>
      <c r="M91" s="9" t="str">
        <f>'System Parameters'!O43</f>
        <v/>
      </c>
      <c r="N91" s="9" t="str">
        <f>'System Parameters'!P43</f>
        <v/>
      </c>
      <c r="O91" s="9" t="str">
        <f>'System Parameters'!Q43</f>
        <v/>
      </c>
      <c r="R91" s="9" t="str">
        <f>'System Parameters'!Q30</f>
        <v/>
      </c>
      <c r="S91" s="9" t="str">
        <f>'System Parameters'!I43</f>
        <v/>
      </c>
      <c r="T91" s="9" t="str">
        <f>'System Parameters'!J43</f>
        <v/>
      </c>
      <c r="U91" s="9" t="str">
        <f>'System Parameters'!K43</f>
        <v/>
      </c>
      <c r="V91" s="9" t="str">
        <f>'System Parameters'!L43</f>
        <v/>
      </c>
    </row>
    <row r="92" ht="15.75" customHeight="1">
      <c r="A92" s="9" t="str">
        <f>'System Parameters'!L30</f>
        <v>Effective Battery Capacity</v>
      </c>
      <c r="B92" s="9" t="str">
        <f>'System Parameters'!M30</f>
        <v/>
      </c>
      <c r="C92" s="9" t="str">
        <f>'System Parameters'!N30</f>
        <v/>
      </c>
      <c r="D92" s="9" t="str">
        <f>'System Parameters'!O30</f>
        <v/>
      </c>
      <c r="E92" s="9" t="str">
        <f>'System Parameters'!P30</f>
        <v/>
      </c>
      <c r="F92" s="9" t="str">
        <f>'System Parameters'!Q31</f>
        <v/>
      </c>
      <c r="G92" s="9" t="str">
        <f>'System Parameters'!I44</f>
        <v/>
      </c>
      <c r="H92" s="9" t="str">
        <f>'System Parameters'!J44</f>
        <v/>
      </c>
      <c r="I92" s="9" t="str">
        <f>'System Parameters'!K44</f>
        <v/>
      </c>
      <c r="J92" s="9" t="str">
        <f>'System Parameters'!L44</f>
        <v/>
      </c>
      <c r="K92" s="9" t="str">
        <f>'System Parameters'!M44</f>
        <v/>
      </c>
      <c r="L92" s="9" t="str">
        <f>'System Parameters'!N44</f>
        <v/>
      </c>
      <c r="M92" s="9" t="str">
        <f>'System Parameters'!O44</f>
        <v/>
      </c>
      <c r="N92" s="9" t="str">
        <f>'System Parameters'!P44</f>
        <v/>
      </c>
      <c r="O92" s="9" t="str">
        <f>'System Parameters'!Q44</f>
        <v/>
      </c>
      <c r="P92" s="9" t="str">
        <f>'System Parameters'!O30</f>
        <v/>
      </c>
      <c r="Q92" s="9" t="str">
        <f>'System Parameters'!P30</f>
        <v/>
      </c>
      <c r="R92" s="9" t="str">
        <f>'System Parameters'!Q31</f>
        <v/>
      </c>
      <c r="S92" s="9" t="str">
        <f>'System Parameters'!I44</f>
        <v/>
      </c>
      <c r="T92" s="9" t="str">
        <f>'System Parameters'!J44</f>
        <v/>
      </c>
      <c r="U92" s="9" t="str">
        <f>'System Parameters'!K44</f>
        <v/>
      </c>
      <c r="V92" s="9" t="str">
        <f>'System Parameters'!L44</f>
        <v/>
      </c>
    </row>
    <row r="93" ht="15.75" customHeight="1">
      <c r="A93" s="9" t="str">
        <f>'System Parameters'!L31</f>
        <v/>
      </c>
      <c r="B93" s="9">
        <f>B80*B81*B82</f>
        <v>1567.5</v>
      </c>
      <c r="C93" s="9" t="str">
        <f>'System Parameters'!N31</f>
        <v>mW*h</v>
      </c>
      <c r="D93" s="9">
        <f t="shared" ref="D93:O93" si="39">$B93</f>
        <v>1567.5</v>
      </c>
      <c r="E93" s="9">
        <f t="shared" si="39"/>
        <v>1567.5</v>
      </c>
      <c r="F93" s="9">
        <f t="shared" si="39"/>
        <v>1567.5</v>
      </c>
      <c r="G93" s="9">
        <f t="shared" si="39"/>
        <v>1567.5</v>
      </c>
      <c r="H93" s="9">
        <f t="shared" si="39"/>
        <v>1567.5</v>
      </c>
      <c r="I93" s="9">
        <f t="shared" si="39"/>
        <v>1567.5</v>
      </c>
      <c r="J93" s="9">
        <f t="shared" si="39"/>
        <v>1567.5</v>
      </c>
      <c r="K93" s="9">
        <f t="shared" si="39"/>
        <v>1567.5</v>
      </c>
      <c r="L93" s="9">
        <f t="shared" si="39"/>
        <v>1567.5</v>
      </c>
      <c r="M93" s="9">
        <f t="shared" si="39"/>
        <v>1567.5</v>
      </c>
      <c r="N93" s="9">
        <f t="shared" si="39"/>
        <v>1567.5</v>
      </c>
      <c r="O93" s="9">
        <f t="shared" si="39"/>
        <v>1567.5</v>
      </c>
      <c r="P93" s="9" t="str">
        <f>'System Parameters'!O31</f>
        <v/>
      </c>
      <c r="Q93" s="9" t="str">
        <f>'System Parameters'!P31</f>
        <v/>
      </c>
      <c r="R93" s="9" t="str">
        <f>'System Parameters'!Q32</f>
        <v/>
      </c>
      <c r="S93" s="9" t="str">
        <f>'System Parameters'!I45</f>
        <v/>
      </c>
      <c r="T93" s="9" t="str">
        <f>'System Parameters'!J45</f>
        <v/>
      </c>
      <c r="U93" s="9" t="str">
        <f>'System Parameters'!K45</f>
        <v/>
      </c>
      <c r="V93" s="9" t="str">
        <f>'System Parameters'!L45</f>
        <v/>
      </c>
    </row>
    <row r="94" ht="15.75" customHeight="1">
      <c r="A94" s="9" t="str">
        <f>'System Parameters'!L32</f>
        <v/>
      </c>
      <c r="B94" s="9" t="str">
        <f>'System Parameters'!M32</f>
        <v/>
      </c>
      <c r="C94" s="9" t="str">
        <f>'System Parameters'!N32</f>
        <v/>
      </c>
      <c r="D94" s="9" t="str">
        <f>'System Parameters'!O32</f>
        <v/>
      </c>
      <c r="E94" s="9" t="str">
        <f>'System Parameters'!P32</f>
        <v/>
      </c>
      <c r="F94" s="9" t="str">
        <f>'System Parameters'!Q33</f>
        <v/>
      </c>
      <c r="G94" s="9" t="str">
        <f>'System Parameters'!I46</f>
        <v/>
      </c>
      <c r="H94" s="9" t="str">
        <f>'System Parameters'!J46</f>
        <v/>
      </c>
      <c r="I94" s="9" t="str">
        <f>'System Parameters'!K46</f>
        <v/>
      </c>
      <c r="J94" s="9" t="str">
        <f>'System Parameters'!L46</f>
        <v/>
      </c>
      <c r="K94" s="9" t="str">
        <f>'System Parameters'!M46</f>
        <v/>
      </c>
      <c r="L94" s="9" t="str">
        <f>'System Parameters'!N46</f>
        <v/>
      </c>
      <c r="M94" s="9" t="str">
        <f>'System Parameters'!O46</f>
        <v/>
      </c>
      <c r="N94" s="9" t="str">
        <f>'System Parameters'!P46</f>
        <v/>
      </c>
      <c r="O94" s="9" t="str">
        <f>'System Parameters'!Q46</f>
        <v/>
      </c>
      <c r="P94" s="9" t="str">
        <f>'System Parameters'!O32</f>
        <v/>
      </c>
      <c r="Q94" s="9" t="str">
        <f>'System Parameters'!P32</f>
        <v/>
      </c>
      <c r="R94" s="9" t="str">
        <f>'System Parameters'!Q33</f>
        <v/>
      </c>
      <c r="S94" s="9" t="str">
        <f>'System Parameters'!I46</f>
        <v/>
      </c>
      <c r="T94" s="9" t="str">
        <f>'System Parameters'!J46</f>
        <v/>
      </c>
      <c r="U94" s="9" t="str">
        <f>'System Parameters'!K46</f>
        <v/>
      </c>
      <c r="V94" s="9" t="str">
        <f>'System Parameters'!L46</f>
        <v/>
      </c>
    </row>
    <row r="95" ht="15.75" customHeight="1">
      <c r="A95" s="9" t="str">
        <f>'System Parameters'!L33</f>
        <v>Days of Use</v>
      </c>
      <c r="B95" s="9">
        <f>B93/($T78*B88+$U78*B89+$V78*B90)</f>
        <v>3.299158544</v>
      </c>
      <c r="C95" s="9" t="str">
        <f>'System Parameters'!N33</f>
        <v>days</v>
      </c>
      <c r="D95" s="9">
        <f t="shared" ref="D95:O95" si="40">D93/($T78*D88+$U78*D89+$V78*D90)</f>
        <v>3.402274893</v>
      </c>
      <c r="E95" s="9">
        <f t="shared" si="40"/>
        <v>3.322937717</v>
      </c>
      <c r="F95" s="9">
        <f t="shared" si="40"/>
        <v>3.313880547</v>
      </c>
      <c r="G95" s="9">
        <f t="shared" si="40"/>
        <v>3.302112548</v>
      </c>
      <c r="H95" s="9">
        <f t="shared" si="40"/>
        <v>3.30960727</v>
      </c>
      <c r="I95" s="9">
        <f t="shared" si="40"/>
        <v>3.308210284</v>
      </c>
      <c r="J95" s="9">
        <f t="shared" si="40"/>
        <v>3.30026993</v>
      </c>
      <c r="K95" s="9">
        <f t="shared" si="40"/>
        <v>3.341354363</v>
      </c>
      <c r="L95" s="9">
        <f t="shared" si="40"/>
        <v>3.314234788</v>
      </c>
      <c r="M95" s="9">
        <f t="shared" si="40"/>
        <v>3.381832492</v>
      </c>
      <c r="N95" s="9">
        <f t="shared" si="40"/>
        <v>3.320122391</v>
      </c>
      <c r="O95" s="9">
        <f t="shared" si="40"/>
        <v>3.30918805</v>
      </c>
      <c r="P95" s="9" t="str">
        <f>'System Parameters'!O33</f>
        <v/>
      </c>
      <c r="Q95" s="9" t="str">
        <f>'System Parameters'!P33</f>
        <v/>
      </c>
      <c r="R95" s="9" t="str">
        <f>'System Parameters'!Q34</f>
        <v/>
      </c>
      <c r="S95" s="9" t="str">
        <f>'System Parameters'!I47</f>
        <v/>
      </c>
      <c r="T95" s="9" t="str">
        <f>'System Parameters'!J47</f>
        <v/>
      </c>
      <c r="U95" s="9" t="str">
        <f>'System Parameters'!K47</f>
        <v/>
      </c>
      <c r="V95" s="9" t="str">
        <f>'System Parameters'!L47</f>
        <v/>
      </c>
    </row>
    <row r="96" ht="15.75" customHeight="1">
      <c r="A96" s="9" t="str">
        <f>'System Parameters'!L34</f>
        <v>Hours of Use</v>
      </c>
      <c r="B96" s="9">
        <f>B95*24</f>
        <v>79.17980505</v>
      </c>
      <c r="C96" s="9" t="str">
        <f>'System Parameters'!N34</f>
        <v>hours</v>
      </c>
      <c r="D96" s="9">
        <f t="shared" ref="D96:O96" si="41">D95*24</f>
        <v>81.65459743</v>
      </c>
      <c r="E96" s="9">
        <f t="shared" si="41"/>
        <v>79.75050521</v>
      </c>
      <c r="F96" s="9">
        <f t="shared" si="41"/>
        <v>79.53313313</v>
      </c>
      <c r="G96" s="9">
        <f t="shared" si="41"/>
        <v>79.25070116</v>
      </c>
      <c r="H96" s="9">
        <f t="shared" si="41"/>
        <v>79.43057448</v>
      </c>
      <c r="I96" s="9">
        <f t="shared" si="41"/>
        <v>79.39704682</v>
      </c>
      <c r="J96" s="9">
        <f t="shared" si="41"/>
        <v>79.20647832</v>
      </c>
      <c r="K96" s="9">
        <f t="shared" si="41"/>
        <v>80.19250471</v>
      </c>
      <c r="L96" s="9">
        <f t="shared" si="41"/>
        <v>79.54163491</v>
      </c>
      <c r="M96" s="9">
        <f t="shared" si="41"/>
        <v>81.16397982</v>
      </c>
      <c r="N96" s="9">
        <f t="shared" si="41"/>
        <v>79.68293738</v>
      </c>
      <c r="O96" s="9">
        <f t="shared" si="41"/>
        <v>79.42051321</v>
      </c>
      <c r="P96" s="9" t="str">
        <f>'System Parameters'!O34</f>
        <v/>
      </c>
      <c r="Q96" s="9" t="str">
        <f>'System Parameters'!P34</f>
        <v/>
      </c>
      <c r="R96" s="9" t="str">
        <f>'System Parameters'!Q35</f>
        <v/>
      </c>
      <c r="S96" s="9" t="str">
        <f>'System Parameters'!I48</f>
        <v/>
      </c>
      <c r="T96" s="9" t="str">
        <f>'System Parameters'!J48</f>
        <v/>
      </c>
      <c r="U96" s="9" t="str">
        <f>'System Parameters'!K48</f>
        <v/>
      </c>
      <c r="V96" s="9" t="str">
        <f>'System Parameters'!L48</f>
        <v/>
      </c>
    </row>
    <row r="97" ht="15.75" customHeight="1">
      <c r="A97" s="9" t="str">
        <f>'System Parameters'!A49</f>
        <v>Display — SSD1306 OLED</v>
      </c>
      <c r="B97" s="9" t="str">
        <f>'System Parameters'!K36</f>
        <v/>
      </c>
      <c r="C97" s="9" t="str">
        <f>'System Parameters'!L36</f>
        <v/>
      </c>
      <c r="D97" s="9" t="str">
        <f>'System Parameters'!M36</f>
        <v/>
      </c>
      <c r="O97" s="9" t="str">
        <f>'System Parameters'!N36</f>
        <v/>
      </c>
      <c r="P97" s="9" t="str">
        <f>'System Parameters'!O36</f>
        <v/>
      </c>
      <c r="Q97" s="9" t="str">
        <f>'System Parameters'!P36</f>
        <v/>
      </c>
      <c r="R97" s="9" t="str">
        <f>'System Parameters'!Q36</f>
        <v/>
      </c>
      <c r="S97" s="9" t="str">
        <f>'System Parameters'!I49</f>
        <v/>
      </c>
      <c r="T97" s="9" t="str">
        <f>'System Parameters'!J49</f>
        <v/>
      </c>
      <c r="U97" s="9" t="str">
        <f>'System Parameters'!K49</f>
        <v/>
      </c>
      <c r="V97" s="9" t="str">
        <f>'System Parameters'!L49</f>
        <v/>
      </c>
    </row>
    <row r="98" ht="15.75" customHeight="1">
      <c r="A98" s="9" t="s">
        <v>59</v>
      </c>
      <c r="B98" s="9" t="str">
        <f>'System Parameters'!K37</f>
        <v/>
      </c>
      <c r="C98" s="9" t="str">
        <f>'System Parameters'!L37</f>
        <v/>
      </c>
      <c r="D98" s="29">
        <f t="shared" ref="D98:O98" si="42">D96/$B96-1</f>
        <v>0.0312553483</v>
      </c>
      <c r="E98" s="29">
        <f t="shared" si="42"/>
        <v>0.007207647999</v>
      </c>
      <c r="F98" s="29">
        <f t="shared" si="42"/>
        <v>0.00446235104</v>
      </c>
      <c r="G98" s="29">
        <f t="shared" si="42"/>
        <v>0.0008953812471</v>
      </c>
      <c r="H98" s="29">
        <f t="shared" si="42"/>
        <v>0.003167088297</v>
      </c>
      <c r="I98" s="29">
        <f t="shared" si="42"/>
        <v>0.002743651272</v>
      </c>
      <c r="J98" s="29">
        <f t="shared" si="42"/>
        <v>0.0003368696579</v>
      </c>
      <c r="K98" s="29">
        <f t="shared" si="42"/>
        <v>0.01278987316</v>
      </c>
      <c r="L98" s="29">
        <f t="shared" si="42"/>
        <v>0.004569724013</v>
      </c>
      <c r="M98" s="29">
        <f t="shared" si="42"/>
        <v>0.02505910145</v>
      </c>
      <c r="N98" s="29">
        <f t="shared" si="42"/>
        <v>0.006354301227</v>
      </c>
      <c r="O98" s="29">
        <f t="shared" si="42"/>
        <v>0.003040019644</v>
      </c>
      <c r="P98" s="9" t="str">
        <f>'System Parameters'!O37</f>
        <v/>
      </c>
      <c r="Q98" s="9" t="str">
        <f>'System Parameters'!P37</f>
        <v/>
      </c>
      <c r="R98" s="9" t="str">
        <f>'System Parameters'!Q37</f>
        <v/>
      </c>
      <c r="S98" s="9" t="str">
        <f>'System Parameters'!I50</f>
        <v/>
      </c>
      <c r="T98" s="9" t="str">
        <f>'System Parameters'!J50</f>
        <v/>
      </c>
      <c r="U98" s="9" t="str">
        <f>'System Parameters'!K50</f>
        <v/>
      </c>
      <c r="V98" s="9" t="str">
        <f>'System Parameters'!L50</f>
        <v/>
      </c>
    </row>
    <row r="99" ht="15.75" customHeight="1">
      <c r="A99" s="9" t="s">
        <v>60</v>
      </c>
      <c r="B99" s="9" t="str">
        <f>'System Parameters'!K38</f>
        <v/>
      </c>
      <c r="C99" s="9" t="str">
        <f>'System Parameters'!L38</f>
        <v/>
      </c>
      <c r="D99" s="9" t="s">
        <v>61</v>
      </c>
      <c r="E99" s="9" t="s">
        <v>62</v>
      </c>
      <c r="F99" s="9" t="s">
        <v>63</v>
      </c>
      <c r="G99" s="9" t="s">
        <v>64</v>
      </c>
      <c r="H99" s="9" t="s">
        <v>65</v>
      </c>
      <c r="I99" s="9" t="s">
        <v>66</v>
      </c>
      <c r="J99" s="9" t="s">
        <v>67</v>
      </c>
      <c r="K99" s="9" t="s">
        <v>68</v>
      </c>
      <c r="L99" s="9" t="s">
        <v>69</v>
      </c>
      <c r="M99" s="9" t="s">
        <v>70</v>
      </c>
      <c r="N99" s="9" t="s">
        <v>71</v>
      </c>
      <c r="O99" s="9" t="s">
        <v>72</v>
      </c>
      <c r="P99" s="9" t="str">
        <f>'System Parameters'!O38</f>
        <v/>
      </c>
      <c r="Q99" s="9" t="str">
        <f>'System Parameters'!P38</f>
        <v/>
      </c>
      <c r="R99" s="9" t="str">
        <f>'System Parameters'!Q38</f>
        <v/>
      </c>
      <c r="S99" s="9" t="str">
        <f>'System Parameters'!I51</f>
        <v/>
      </c>
      <c r="T99" s="9" t="str">
        <f>'System Parameters'!J51</f>
        <v/>
      </c>
      <c r="U99" s="9" t="str">
        <f>'System Parameters'!K51</f>
        <v/>
      </c>
      <c r="V99" s="9" t="str">
        <f>'System Parameters'!L51</f>
        <v/>
      </c>
    </row>
    <row r="100" ht="15.75" customHeight="1">
      <c r="A100" s="9" t="str">
        <f>'System Parameters'!A52</f>
        <v/>
      </c>
      <c r="B100" s="30" t="str">
        <f>'System Parameters'!B52</f>
        <v>https://www.adafruit.com/product/258</v>
      </c>
      <c r="C100" s="9" t="str">
        <f>'System Parameters'!C52</f>
        <v/>
      </c>
      <c r="D100" s="9" t="str">
        <f>'System Parameters'!D52</f>
        <v/>
      </c>
      <c r="O100" s="9" t="str">
        <f>'System Parameters'!E52</f>
        <v/>
      </c>
      <c r="P100" s="9" t="str">
        <f>'System Parameters'!F52</f>
        <v/>
      </c>
      <c r="Q100" s="9" t="str">
        <f>'System Parameters'!G52</f>
        <v/>
      </c>
      <c r="R100" s="9" t="str">
        <f>'System Parameters'!H52</f>
        <v/>
      </c>
      <c r="S100" s="9" t="str">
        <f>'System Parameters'!I52</f>
        <v/>
      </c>
      <c r="T100" s="9" t="str">
        <f>'System Parameters'!J52</f>
        <v/>
      </c>
      <c r="U100" s="9" t="str">
        <f>'System Parameters'!K52</f>
        <v/>
      </c>
      <c r="V100" s="9" t="str">
        <f>'System Parameters'!L52</f>
        <v/>
      </c>
    </row>
    <row r="101" ht="15.75" customHeight="1">
      <c r="A101" s="9" t="str">
        <f>'System Parameters'!A53</f>
        <v/>
      </c>
      <c r="B101" s="9" t="str">
        <f>'System Parameters'!B53</f>
        <v/>
      </c>
      <c r="C101" s="9" t="str">
        <f>'System Parameters'!C53</f>
        <v/>
      </c>
      <c r="D101" s="9" t="str">
        <f>'System Parameters'!D53</f>
        <v/>
      </c>
      <c r="O101" s="9" t="str">
        <f>'System Parameters'!E53</f>
        <v/>
      </c>
      <c r="P101" s="9" t="str">
        <f>'System Parameters'!F53</f>
        <v/>
      </c>
      <c r="Q101" s="9" t="str">
        <f>'System Parameters'!G53</f>
        <v/>
      </c>
      <c r="R101" s="9" t="str">
        <f>'System Parameters'!H53</f>
        <v/>
      </c>
      <c r="S101" s="9" t="str">
        <f>'System Parameters'!I53</f>
        <v/>
      </c>
      <c r="T101" s="9" t="str">
        <f>'System Parameters'!J53</f>
        <v/>
      </c>
      <c r="U101" s="9" t="str">
        <f>'System Parameters'!K53</f>
        <v/>
      </c>
      <c r="V101" s="9" t="str">
        <f>'System Parameters'!L53</f>
        <v/>
      </c>
    </row>
    <row r="102" ht="15.75" customHeight="1">
      <c r="A102" s="9" t="str">
        <f>'System Parameters'!A54</f>
        <v/>
      </c>
      <c r="B102" s="9" t="str">
        <f>'System Parameters'!B54</f>
        <v/>
      </c>
      <c r="C102" s="9" t="str">
        <f>'System Parameters'!C54</f>
        <v/>
      </c>
      <c r="D102" s="9" t="str">
        <f>'System Parameters'!D54</f>
        <v/>
      </c>
      <c r="O102" s="9" t="str">
        <f>'System Parameters'!E54</f>
        <v/>
      </c>
      <c r="P102" s="9" t="str">
        <f>'System Parameters'!F54</f>
        <v/>
      </c>
      <c r="Q102" s="9" t="str">
        <f>'System Parameters'!G54</f>
        <v/>
      </c>
      <c r="R102" s="9" t="str">
        <f>'System Parameters'!H54</f>
        <v/>
      </c>
      <c r="S102" s="9" t="str">
        <f>'System Parameters'!I54</f>
        <v/>
      </c>
      <c r="T102" s="9" t="str">
        <f>'System Parameters'!J54</f>
        <v/>
      </c>
      <c r="U102" s="9" t="str">
        <f>'System Parameters'!K54</f>
        <v/>
      </c>
      <c r="V102" s="9" t="str">
        <f>'System Parameters'!L54</f>
        <v/>
      </c>
    </row>
    <row r="103" ht="15.75" customHeight="1">
      <c r="A103" s="9" t="str">
        <f>'System Parameters'!A55</f>
        <v/>
      </c>
      <c r="B103" s="9" t="str">
        <f>'System Parameters'!B55</f>
        <v/>
      </c>
      <c r="C103" s="9" t="str">
        <f>'System Parameters'!C55</f>
        <v/>
      </c>
      <c r="D103" s="9" t="str">
        <f>'System Parameters'!D55</f>
        <v/>
      </c>
      <c r="O103" s="9" t="str">
        <f>'System Parameters'!E55</f>
        <v/>
      </c>
      <c r="P103" s="9" t="str">
        <f>'System Parameters'!F55</f>
        <v/>
      </c>
      <c r="Q103" s="9" t="str">
        <f>'System Parameters'!G55</f>
        <v/>
      </c>
      <c r="R103" s="9" t="str">
        <f>'System Parameters'!H55</f>
        <v/>
      </c>
      <c r="S103" s="9" t="str">
        <f>'System Parameters'!I55</f>
        <v/>
      </c>
      <c r="T103" s="9" t="str">
        <f>'System Parameters'!J55</f>
        <v/>
      </c>
      <c r="U103" s="9" t="str">
        <f>'System Parameters'!K55</f>
        <v/>
      </c>
      <c r="V103" s="9" t="str">
        <f>'System Parameters'!L55</f>
        <v/>
      </c>
    </row>
    <row r="104" ht="15.75" customHeight="1">
      <c r="A104" s="9" t="str">
        <f>'System Parameters'!A56</f>
        <v/>
      </c>
      <c r="B104" s="9" t="str">
        <f>'System Parameters'!B56</f>
        <v/>
      </c>
      <c r="C104" s="9" t="str">
        <f>'System Parameters'!C56</f>
        <v/>
      </c>
      <c r="D104" s="9" t="str">
        <f>'System Parameters'!D56</f>
        <v/>
      </c>
      <c r="O104" s="9" t="str">
        <f>'System Parameters'!E56</f>
        <v/>
      </c>
      <c r="P104" s="9" t="str">
        <f>'System Parameters'!F56</f>
        <v/>
      </c>
      <c r="Q104" s="9" t="str">
        <f>'System Parameters'!G56</f>
        <v/>
      </c>
      <c r="R104" s="9" t="str">
        <f>'System Parameters'!H56</f>
        <v/>
      </c>
      <c r="S104" s="9" t="str">
        <f>'System Parameters'!I56</f>
        <v/>
      </c>
      <c r="T104" s="9" t="str">
        <f>'System Parameters'!J56</f>
        <v/>
      </c>
      <c r="U104" s="9" t="str">
        <f>'System Parameters'!K56</f>
        <v/>
      </c>
      <c r="V104" s="9" t="str">
        <f>'System Parameters'!L56</f>
        <v/>
      </c>
    </row>
    <row r="105" ht="15.75" customHeight="1">
      <c r="A105" s="9" t="str">
        <f>'System Parameters'!A57</f>
        <v/>
      </c>
      <c r="B105" s="9" t="str">
        <f>'System Parameters'!B57</f>
        <v/>
      </c>
      <c r="C105" s="9" t="str">
        <f>'System Parameters'!C57</f>
        <v/>
      </c>
      <c r="D105" s="9" t="str">
        <f>'System Parameters'!D57</f>
        <v/>
      </c>
      <c r="O105" s="9" t="str">
        <f>'System Parameters'!E57</f>
        <v/>
      </c>
      <c r="P105" s="9" t="str">
        <f>'System Parameters'!F57</f>
        <v/>
      </c>
      <c r="Q105" s="9" t="str">
        <f>'System Parameters'!G57</f>
        <v/>
      </c>
      <c r="R105" s="9" t="str">
        <f>'System Parameters'!H57</f>
        <v/>
      </c>
      <c r="S105" s="9" t="str">
        <f>'System Parameters'!I57</f>
        <v/>
      </c>
      <c r="T105" s="9" t="str">
        <f>'System Parameters'!J57</f>
        <v/>
      </c>
      <c r="U105" s="9" t="str">
        <f>'System Parameters'!K57</f>
        <v/>
      </c>
      <c r="V105" s="9" t="str">
        <f>'System Parameters'!L57</f>
        <v/>
      </c>
    </row>
    <row r="106" ht="15.75" customHeight="1">
      <c r="A106" s="9" t="str">
        <f>'System Parameters'!A58</f>
        <v/>
      </c>
      <c r="B106" s="9" t="str">
        <f>'System Parameters'!B58</f>
        <v/>
      </c>
      <c r="C106" s="9" t="str">
        <f>'System Parameters'!C58</f>
        <v/>
      </c>
      <c r="D106" s="9" t="str">
        <f>'System Parameters'!D58</f>
        <v/>
      </c>
      <c r="O106" s="9" t="str">
        <f>'System Parameters'!E58</f>
        <v/>
      </c>
      <c r="P106" s="9" t="str">
        <f>'System Parameters'!F58</f>
        <v/>
      </c>
      <c r="Q106" s="9" t="str">
        <f>'System Parameters'!G58</f>
        <v/>
      </c>
      <c r="R106" s="9" t="str">
        <f>'System Parameters'!H58</f>
        <v/>
      </c>
      <c r="S106" s="9" t="str">
        <f>'System Parameters'!I58</f>
        <v/>
      </c>
      <c r="T106" s="9" t="str">
        <f>'System Parameters'!J58</f>
        <v/>
      </c>
      <c r="U106" s="9" t="str">
        <f>'System Parameters'!K58</f>
        <v/>
      </c>
      <c r="V106" s="9" t="str">
        <f>'System Parameters'!L58</f>
        <v/>
      </c>
    </row>
    <row r="107" ht="15.75" customHeight="1">
      <c r="A107" s="9" t="str">
        <f>'System Parameters'!A59</f>
        <v/>
      </c>
      <c r="B107" s="9" t="str">
        <f>'System Parameters'!B59</f>
        <v/>
      </c>
      <c r="C107" s="9" t="str">
        <f>'System Parameters'!C59</f>
        <v/>
      </c>
      <c r="D107" s="9" t="str">
        <f>'System Parameters'!D59</f>
        <v/>
      </c>
      <c r="O107" s="9" t="str">
        <f>'System Parameters'!E59</f>
        <v/>
      </c>
      <c r="P107" s="9" t="str">
        <f>'System Parameters'!F59</f>
        <v/>
      </c>
      <c r="Q107" s="9" t="str">
        <f>'System Parameters'!G59</f>
        <v/>
      </c>
      <c r="R107" s="9" t="str">
        <f>'System Parameters'!H59</f>
        <v/>
      </c>
      <c r="S107" s="9" t="str">
        <f>'System Parameters'!I59</f>
        <v/>
      </c>
      <c r="T107" s="9" t="str">
        <f>'System Parameters'!J59</f>
        <v/>
      </c>
      <c r="U107" s="9" t="str">
        <f>'System Parameters'!K59</f>
        <v/>
      </c>
      <c r="V107" s="9" t="str">
        <f>'System Parameters'!L59</f>
        <v/>
      </c>
    </row>
    <row r="108" ht="15.75" customHeight="1">
      <c r="A108" s="9" t="str">
        <f>'System Parameters'!A60</f>
        <v/>
      </c>
      <c r="B108" s="9" t="str">
        <f>'System Parameters'!B60</f>
        <v/>
      </c>
      <c r="C108" s="9" t="str">
        <f>'System Parameters'!C60</f>
        <v/>
      </c>
      <c r="D108" s="9" t="str">
        <f>'System Parameters'!D60</f>
        <v/>
      </c>
      <c r="O108" s="9" t="str">
        <f>'System Parameters'!E60</f>
        <v/>
      </c>
      <c r="P108" s="9" t="str">
        <f>'System Parameters'!F60</f>
        <v/>
      </c>
      <c r="Q108" s="9" t="str">
        <f>'System Parameters'!G60</f>
        <v/>
      </c>
      <c r="R108" s="9" t="str">
        <f>'System Parameters'!H60</f>
        <v/>
      </c>
      <c r="S108" s="9" t="str">
        <f>'System Parameters'!I60</f>
        <v/>
      </c>
      <c r="T108" s="9" t="str">
        <f>'System Parameters'!J60</f>
        <v/>
      </c>
      <c r="U108" s="9" t="str">
        <f>'System Parameters'!K60</f>
        <v/>
      </c>
      <c r="V108" s="9" t="str">
        <f>'System Parameters'!L60</f>
        <v/>
      </c>
    </row>
    <row r="109" ht="15.75" customHeight="1">
      <c r="A109" s="9" t="str">
        <f>'System Parameters'!A61</f>
        <v/>
      </c>
      <c r="B109" s="9" t="str">
        <f>'System Parameters'!B61</f>
        <v/>
      </c>
      <c r="C109" s="9" t="str">
        <f>'System Parameters'!C61</f>
        <v/>
      </c>
      <c r="D109" s="9" t="str">
        <f>'System Parameters'!D61</f>
        <v/>
      </c>
      <c r="O109" s="9" t="str">
        <f>'System Parameters'!E61</f>
        <v/>
      </c>
      <c r="P109" s="9" t="str">
        <f>'System Parameters'!F61</f>
        <v/>
      </c>
      <c r="Q109" s="9" t="str">
        <f>'System Parameters'!G61</f>
        <v/>
      </c>
      <c r="R109" s="9" t="str">
        <f>'System Parameters'!H61</f>
        <v/>
      </c>
      <c r="S109" s="9" t="str">
        <f>'System Parameters'!I61</f>
        <v/>
      </c>
      <c r="T109" s="9" t="str">
        <f>'System Parameters'!J61</f>
        <v/>
      </c>
      <c r="U109" s="9" t="str">
        <f>'System Parameters'!K61</f>
        <v/>
      </c>
      <c r="V109" s="9" t="str">
        <f>'System Parameters'!L61</f>
        <v/>
      </c>
    </row>
    <row r="110" ht="15.75" customHeight="1">
      <c r="A110" s="9" t="str">
        <f>'System Parameters'!A62</f>
        <v/>
      </c>
      <c r="B110" s="9" t="str">
        <f>'System Parameters'!B62</f>
        <v/>
      </c>
      <c r="C110" s="9" t="str">
        <f>'System Parameters'!C62</f>
        <v/>
      </c>
      <c r="D110" s="9" t="str">
        <f>'System Parameters'!D62</f>
        <v/>
      </c>
      <c r="O110" s="9" t="str">
        <f>'System Parameters'!E62</f>
        <v/>
      </c>
      <c r="P110" s="9" t="str">
        <f>'System Parameters'!F62</f>
        <v/>
      </c>
      <c r="Q110" s="9" t="str">
        <f>'System Parameters'!G62</f>
        <v/>
      </c>
      <c r="R110" s="9" t="str">
        <f>'System Parameters'!H62</f>
        <v/>
      </c>
      <c r="S110" s="9" t="str">
        <f>'System Parameters'!I62</f>
        <v/>
      </c>
      <c r="T110" s="9" t="str">
        <f>'System Parameters'!J62</f>
        <v/>
      </c>
      <c r="U110" s="9" t="str">
        <f>'System Parameters'!K62</f>
        <v/>
      </c>
      <c r="V110" s="9" t="str">
        <f>'System Parameters'!L62</f>
        <v/>
      </c>
    </row>
    <row r="111" ht="15.75" customHeight="1">
      <c r="A111" s="9" t="str">
        <f>'System Parameters'!A63</f>
        <v/>
      </c>
      <c r="B111" s="9" t="str">
        <f>'System Parameters'!B63</f>
        <v/>
      </c>
      <c r="C111" s="9" t="str">
        <f>'System Parameters'!C63</f>
        <v/>
      </c>
      <c r="D111" s="9" t="str">
        <f>'System Parameters'!D63</f>
        <v/>
      </c>
      <c r="O111" s="9" t="str">
        <f>'System Parameters'!E63</f>
        <v/>
      </c>
      <c r="P111" s="9" t="str">
        <f>'System Parameters'!F63</f>
        <v/>
      </c>
      <c r="Q111" s="9" t="str">
        <f>'System Parameters'!G63</f>
        <v/>
      </c>
      <c r="R111" s="9" t="str">
        <f>'System Parameters'!H63</f>
        <v/>
      </c>
      <c r="S111" s="9" t="str">
        <f>'System Parameters'!I63</f>
        <v/>
      </c>
      <c r="T111" s="9" t="str">
        <f>'System Parameters'!J63</f>
        <v/>
      </c>
      <c r="U111" s="9" t="str">
        <f>'System Parameters'!K63</f>
        <v/>
      </c>
      <c r="V111" s="9" t="str">
        <f>'System Parameters'!L63</f>
        <v/>
      </c>
    </row>
    <row r="112" ht="15.75" customHeight="1">
      <c r="A112" s="9" t="str">
        <f>'System Parameters'!A64</f>
        <v/>
      </c>
      <c r="B112" s="9" t="str">
        <f>'System Parameters'!B64</f>
        <v/>
      </c>
      <c r="C112" s="9" t="str">
        <f>'System Parameters'!C64</f>
        <v/>
      </c>
      <c r="D112" s="9" t="str">
        <f>'System Parameters'!D64</f>
        <v/>
      </c>
      <c r="O112" s="9" t="str">
        <f>'System Parameters'!E64</f>
        <v/>
      </c>
      <c r="P112" s="9" t="str">
        <f>'System Parameters'!F64</f>
        <v/>
      </c>
      <c r="Q112" s="9" t="str">
        <f>'System Parameters'!G64</f>
        <v/>
      </c>
      <c r="R112" s="9" t="str">
        <f>'System Parameters'!H64</f>
        <v/>
      </c>
      <c r="S112" s="9" t="str">
        <f>'System Parameters'!I64</f>
        <v/>
      </c>
      <c r="T112" s="9" t="str">
        <f>'System Parameters'!J64</f>
        <v/>
      </c>
      <c r="U112" s="9" t="str">
        <f>'System Parameters'!K64</f>
        <v/>
      </c>
      <c r="V112" s="9" t="str">
        <f>'System Parameters'!L64</f>
        <v/>
      </c>
    </row>
    <row r="113" ht="15.75" customHeight="1">
      <c r="A113" s="9" t="str">
        <f>'System Parameters'!A65</f>
        <v/>
      </c>
      <c r="B113" s="9" t="str">
        <f>'System Parameters'!B65</f>
        <v/>
      </c>
      <c r="C113" s="9" t="str">
        <f>'System Parameters'!C65</f>
        <v/>
      </c>
      <c r="D113" s="9" t="str">
        <f>'System Parameters'!D65</f>
        <v/>
      </c>
      <c r="O113" s="9" t="str">
        <f>'System Parameters'!E65</f>
        <v/>
      </c>
      <c r="P113" s="9" t="str">
        <f>'System Parameters'!F65</f>
        <v/>
      </c>
      <c r="Q113" s="9" t="str">
        <f>'System Parameters'!G65</f>
        <v/>
      </c>
      <c r="R113" s="9" t="str">
        <f>'System Parameters'!H65</f>
        <v/>
      </c>
      <c r="S113" s="9" t="str">
        <f>'System Parameters'!I65</f>
        <v/>
      </c>
      <c r="T113" s="9" t="str">
        <f>'System Parameters'!J65</f>
        <v/>
      </c>
      <c r="U113" s="9" t="str">
        <f>'System Parameters'!K65</f>
        <v/>
      </c>
      <c r="V113" s="9" t="str">
        <f>'System Parameters'!L65</f>
        <v/>
      </c>
    </row>
    <row r="114" ht="15.75" customHeight="1">
      <c r="A114" s="9" t="str">
        <f>'System Parameters'!A66</f>
        <v/>
      </c>
      <c r="B114" s="9" t="str">
        <f>'System Parameters'!B66</f>
        <v/>
      </c>
      <c r="C114" s="9" t="str">
        <f>'System Parameters'!C66</f>
        <v/>
      </c>
      <c r="D114" s="9" t="str">
        <f>'System Parameters'!D66</f>
        <v/>
      </c>
      <c r="O114" s="9" t="str">
        <f>'System Parameters'!E66</f>
        <v/>
      </c>
      <c r="P114" s="9" t="str">
        <f>'System Parameters'!F66</f>
        <v/>
      </c>
      <c r="Q114" s="9" t="str">
        <f>'System Parameters'!G66</f>
        <v/>
      </c>
      <c r="R114" s="9" t="str">
        <f>'System Parameters'!H66</f>
        <v/>
      </c>
      <c r="S114" s="9" t="str">
        <f>'System Parameters'!I66</f>
        <v/>
      </c>
      <c r="T114" s="9" t="str">
        <f>'System Parameters'!J66</f>
        <v/>
      </c>
      <c r="U114" s="9" t="str">
        <f>'System Parameters'!K66</f>
        <v/>
      </c>
      <c r="V114" s="9" t="str">
        <f>'System Parameters'!L66</f>
        <v/>
      </c>
    </row>
    <row r="115" ht="15.75" customHeight="1">
      <c r="A115" s="9" t="str">
        <f>'System Parameters'!A67</f>
        <v/>
      </c>
      <c r="B115" s="9" t="str">
        <f>'System Parameters'!B67</f>
        <v/>
      </c>
      <c r="C115" s="9" t="str">
        <f>'System Parameters'!C67</f>
        <v/>
      </c>
      <c r="D115" s="9" t="str">
        <f>'System Parameters'!D67</f>
        <v/>
      </c>
      <c r="O115" s="9" t="str">
        <f>'System Parameters'!E67</f>
        <v/>
      </c>
      <c r="P115" s="9" t="str">
        <f>'System Parameters'!F67</f>
        <v/>
      </c>
      <c r="Q115" s="9" t="str">
        <f>'System Parameters'!G67</f>
        <v/>
      </c>
      <c r="R115" s="9" t="str">
        <f>'System Parameters'!H67</f>
        <v/>
      </c>
      <c r="S115" s="9" t="str">
        <f>'System Parameters'!I67</f>
        <v/>
      </c>
      <c r="T115" s="9" t="str">
        <f>'System Parameters'!J67</f>
        <v/>
      </c>
      <c r="U115" s="9" t="str">
        <f>'System Parameters'!K67</f>
        <v/>
      </c>
      <c r="V115" s="9" t="str">
        <f>'System Parameters'!L67</f>
        <v/>
      </c>
    </row>
    <row r="116" ht="15.75" customHeight="1">
      <c r="A116" s="9" t="str">
        <f>'System Parameters'!A68</f>
        <v/>
      </c>
      <c r="B116" s="9" t="str">
        <f>'System Parameters'!B68</f>
        <v/>
      </c>
      <c r="C116" s="9" t="str">
        <f>'System Parameters'!C68</f>
        <v/>
      </c>
      <c r="D116" s="9" t="str">
        <f>'System Parameters'!D68</f>
        <v/>
      </c>
      <c r="O116" s="9" t="str">
        <f>'System Parameters'!E68</f>
        <v/>
      </c>
      <c r="P116" s="9" t="str">
        <f>'System Parameters'!F68</f>
        <v/>
      </c>
      <c r="Q116" s="9" t="str">
        <f>'System Parameters'!G68</f>
        <v/>
      </c>
      <c r="R116" s="9" t="str">
        <f>'System Parameters'!H68</f>
        <v/>
      </c>
      <c r="S116" s="9" t="str">
        <f>'System Parameters'!I68</f>
        <v/>
      </c>
      <c r="T116" s="9" t="str">
        <f>'System Parameters'!J68</f>
        <v/>
      </c>
      <c r="U116" s="9" t="str">
        <f>'System Parameters'!K68</f>
        <v/>
      </c>
      <c r="V116" s="9" t="str">
        <f>'System Parameters'!L68</f>
        <v/>
      </c>
    </row>
    <row r="117" ht="15.75" customHeight="1">
      <c r="A117" s="9" t="str">
        <f>'System Parameters'!A69</f>
        <v/>
      </c>
      <c r="B117" s="9" t="str">
        <f>'System Parameters'!B69</f>
        <v/>
      </c>
      <c r="C117" s="9" t="str">
        <f>'System Parameters'!C69</f>
        <v/>
      </c>
      <c r="D117" s="9" t="str">
        <f>'System Parameters'!D69</f>
        <v/>
      </c>
      <c r="O117" s="9" t="str">
        <f>'System Parameters'!E69</f>
        <v/>
      </c>
      <c r="P117" s="9" t="str">
        <f>'System Parameters'!F69</f>
        <v/>
      </c>
      <c r="Q117" s="9" t="str">
        <f>'System Parameters'!G69</f>
        <v/>
      </c>
      <c r="R117" s="9" t="str">
        <f>'System Parameters'!H69</f>
        <v/>
      </c>
      <c r="S117" s="9" t="str">
        <f>'System Parameters'!I69</f>
        <v/>
      </c>
      <c r="T117" s="9" t="str">
        <f>'System Parameters'!J69</f>
        <v/>
      </c>
      <c r="U117" s="9" t="str">
        <f>'System Parameters'!K69</f>
        <v/>
      </c>
      <c r="V117" s="9" t="str">
        <f>'System Parameters'!L69</f>
        <v/>
      </c>
    </row>
    <row r="118" ht="15.75" customHeight="1">
      <c r="A118" s="9" t="str">
        <f>'System Parameters'!A70</f>
        <v/>
      </c>
      <c r="B118" s="9" t="str">
        <f>'System Parameters'!B70</f>
        <v/>
      </c>
      <c r="C118" s="9" t="str">
        <f>'System Parameters'!C70</f>
        <v/>
      </c>
      <c r="D118" s="9" t="str">
        <f>'System Parameters'!D70</f>
        <v/>
      </c>
      <c r="O118" s="9" t="str">
        <f>'System Parameters'!E70</f>
        <v/>
      </c>
      <c r="P118" s="9" t="str">
        <f>'System Parameters'!F70</f>
        <v/>
      </c>
      <c r="Q118" s="9" t="str">
        <f>'System Parameters'!G70</f>
        <v/>
      </c>
      <c r="R118" s="9" t="str">
        <f>'System Parameters'!H70</f>
        <v/>
      </c>
      <c r="S118" s="9" t="str">
        <f>'System Parameters'!I70</f>
        <v/>
      </c>
      <c r="T118" s="9" t="str">
        <f>'System Parameters'!J70</f>
        <v/>
      </c>
      <c r="U118" s="9" t="str">
        <f>'System Parameters'!K70</f>
        <v/>
      </c>
      <c r="V118" s="9" t="str">
        <f>'System Parameters'!L70</f>
        <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